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live\sciebo - Bott, Oliver (obott@uni-bielefeld.de)@uni-bielefeld.sciebo.de\XPrag_BI\Abstracts\SuB2024\"/>
    </mc:Choice>
  </mc:AlternateContent>
  <xr:revisionPtr revIDLastSave="0" documentId="8_{F88291DD-FD39-4BDF-83BF-F1ECA846F1D9}" xr6:coauthVersionLast="47" xr6:coauthVersionMax="47" xr10:uidLastSave="{00000000-0000-0000-0000-000000000000}"/>
  <bookViews>
    <workbookView xWindow="3030" yWindow="2445" windowWidth="22200" windowHeight="13035" xr2:uid="{00000000-000D-0000-FFFF-FFFF00000000}"/>
  </bookViews>
  <sheets>
    <sheet name="stimuli_table_all_lists" sheetId="1" r:id="rId1"/>
    <sheet name="exercise" sheetId="2" r:id="rId2"/>
  </sheets>
  <definedNames>
    <definedName name="ExterneDaten_1" localSheetId="0" hidden="1">stimuli_table_all_lists!$B$1:$Y$446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1" i="1" l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stimuli_table" description="Verbindung mit der Abfrage 'stimuli_table' in der Arbeitsmappe." type="5" refreshedVersion="8" background="1" saveData="1">
    <dbPr connection="Provider=Microsoft.Mashup.OleDb.1;Data Source=$Workbook$;Location=stimuli_table;Extended Properties=&quot;&quot;" command="SELECT * FROM [stimuli_table]"/>
  </connection>
  <connection id="2" xr16:uid="{00000000-0015-0000-FFFF-FFFF01000000}" keepAlive="1" name="Abfrage - stimuli_table (2)" description="Verbindung mit der Abfrage 'stimuli_table (2)' in der Arbeitsmappe." type="5" refreshedVersion="8" background="1" saveData="1">
    <dbPr connection="Provider=Microsoft.Mashup.OleDb.1;Data Source=$Workbook$;Location=&quot;stimuli_table (2)&quot;;Extended Properties=&quot;&quot;" command="SELECT * FROM [stimuli_table (2)]"/>
  </connection>
  <connection id="3" xr16:uid="{00000000-0015-0000-FFFF-FFFF02000000}" keepAlive="1" name="Abfrage - stimuli_table (3)" description="Verbindung mit der Abfrage 'stimuli_table (3)' in der Arbeitsmappe." type="5" refreshedVersion="8" background="1" saveData="1">
    <dbPr connection="Provider=Microsoft.Mashup.OleDb.1;Data Source=$Workbook$;Location=&quot;stimuli_table (3)&quot;;Extended Properties=&quot;&quot;" command="SELECT * FROM [stimuli_table (3)]"/>
  </connection>
  <connection id="4" xr16:uid="{00000000-0015-0000-FFFF-FFFF03000000}" keepAlive="1" name="Abfrage - stimuli_table (4)" description="Verbindung mit der Abfrage 'stimuli_table (4)' in der Arbeitsmappe." type="5" refreshedVersion="8" background="1" saveData="1">
    <dbPr connection="Provider=Microsoft.Mashup.OleDb.1;Data Source=$Workbook$;Location=&quot;stimuli_table (4)&quot;;Extended Properties=&quot;&quot;" command="SELECT * FROM [stimuli_table (4)]"/>
  </connection>
  <connection id="5" xr16:uid="{00000000-0015-0000-FFFF-FFFF04000000}" keepAlive="1" name="Abfrage - stimuli_table (5)" description="Verbindung mit der Abfrage 'stimuli_table (5)' in der Arbeitsmappe." type="5" refreshedVersion="8" background="1" saveData="1">
    <dbPr connection="Provider=Microsoft.Mashup.OleDb.1;Data Source=$Workbook$;Location=&quot;stimuli_table (5)&quot;;Extended Properties=&quot;&quot;" command="SELECT * FROM [stimuli_table (5)]"/>
  </connection>
  <connection id="6" xr16:uid="{00000000-0015-0000-FFFF-FFFF05000000}" keepAlive="1" name="Abfrage - stimuli_table_test" description="Verbindung mit der Abfrage 'stimuli_table_test' in der Arbeitsmappe." type="5" refreshedVersion="8" background="1" saveData="1">
    <dbPr connection="Provider=Microsoft.Mashup.OleDb.1;Data Source=$Workbook$;Location=stimuli_table_test;Extended Properties=&quot;&quot;" command="SELECT * FROM [stimuli_table_test]"/>
  </connection>
</connections>
</file>

<file path=xl/sharedStrings.xml><?xml version="1.0" encoding="utf-8"?>
<sst xmlns="http://schemas.openxmlformats.org/spreadsheetml/2006/main" count="7039" uniqueCount="203">
  <si>
    <t>Experiment</t>
  </si>
  <si>
    <t>Item</t>
  </si>
  <si>
    <t>Condition</t>
  </si>
  <si>
    <t>Condition_ID</t>
  </si>
  <si>
    <t>quantifier</t>
  </si>
  <si>
    <t>scenario</t>
  </si>
  <si>
    <t>n_quantifier</t>
  </si>
  <si>
    <t>n_target_objects</t>
  </si>
  <si>
    <t>shape_noun</t>
  </si>
  <si>
    <t>color_adjective1</t>
  </si>
  <si>
    <t>color_adjective2</t>
  </si>
  <si>
    <t>Sentence_german</t>
  </si>
  <si>
    <t>Expected_answer</t>
  </si>
  <si>
    <t>list</t>
  </si>
  <si>
    <t>target_objects</t>
  </si>
  <si>
    <t>Form_left</t>
  </si>
  <si>
    <t>colour1_left</t>
  </si>
  <si>
    <t>n_colour1_left</t>
  </si>
  <si>
    <t>colour2_left</t>
  </si>
  <si>
    <t>n_colour2_left</t>
  </si>
  <si>
    <t>Form_right</t>
  </si>
  <si>
    <t>colour1_right</t>
  </si>
  <si>
    <t>n_colour1_right</t>
  </si>
  <si>
    <t>colour2_right</t>
  </si>
  <si>
    <t>n_colour2_right</t>
  </si>
  <si>
    <t>less</t>
  </si>
  <si>
    <t>empty_restrictor</t>
  </si>
  <si>
    <t>square</t>
  </si>
  <si>
    <t>blau</t>
  </si>
  <si>
    <t>NA</t>
  </si>
  <si>
    <t>Sind weniger als drei Quadrate blau?</t>
  </si>
  <si>
    <t>komische frage</t>
  </si>
  <si>
    <t>right</t>
  </si>
  <si>
    <t>circle</t>
  </si>
  <si>
    <t>blue</t>
  </si>
  <si>
    <t>red</t>
  </si>
  <si>
    <t>triangle</t>
  </si>
  <si>
    <t>empty_scope</t>
  </si>
  <si>
    <t>ja, stimmt</t>
  </si>
  <si>
    <t>small_control</t>
  </si>
  <si>
    <t>large_control</t>
  </si>
  <si>
    <t>nein, stimmt nicht</t>
  </si>
  <si>
    <t>more</t>
  </si>
  <si>
    <t>Sind mehr als drei Quadrate blau?</t>
  </si>
  <si>
    <t>every</t>
  </si>
  <si>
    <t>Ist jedes Quadrat blau?</t>
  </si>
  <si>
    <t>no</t>
  </si>
  <si>
    <t>Ist kein Quadrat blau?</t>
  </si>
  <si>
    <t>orange</t>
  </si>
  <si>
    <t>Sind weniger als vier Kreise orange?</t>
  </si>
  <si>
    <t>heart</t>
  </si>
  <si>
    <t>pink</t>
  </si>
  <si>
    <t>cross</t>
  </si>
  <si>
    <t>Sind mehr als vier Kreise orange?</t>
  </si>
  <si>
    <t>Ist jeder Kreis orange?</t>
  </si>
  <si>
    <t>Ist kein Kreis orange?</t>
  </si>
  <si>
    <t>grau</t>
  </si>
  <si>
    <t>Sind weniger als vier Herzen grau?</t>
  </si>
  <si>
    <t>grey</t>
  </si>
  <si>
    <t>yellow</t>
  </si>
  <si>
    <t>Sind mehr als vier Herzen grau?</t>
  </si>
  <si>
    <t>Ist jedes Herz grau?</t>
  </si>
  <si>
    <t>Ist kein Herz grau?</t>
  </si>
  <si>
    <t>braun</t>
  </si>
  <si>
    <t>Sind weniger als vier Kreuze braun?</t>
  </si>
  <si>
    <t>brown</t>
  </si>
  <si>
    <t>green</t>
  </si>
  <si>
    <t>Sind mehr als vier Kreuze braun?</t>
  </si>
  <si>
    <t>Ist jedes Kreuz braun?</t>
  </si>
  <si>
    <t>Ist kein Kreuz braun?</t>
  </si>
  <si>
    <t>lila</t>
  </si>
  <si>
    <t>Sind weniger als drei Dreiecke lila?</t>
  </si>
  <si>
    <t>purple</t>
  </si>
  <si>
    <t>Sind mehr als drei Dreiecke lila?</t>
  </si>
  <si>
    <t>Ist jedes Dreieck lila?</t>
  </si>
  <si>
    <t>Ist kein Dreieck lila?</t>
  </si>
  <si>
    <t>türkis</t>
  </si>
  <si>
    <t>Sind weniger als drei Herzen türkis?</t>
  </si>
  <si>
    <t>turquoise</t>
  </si>
  <si>
    <t>Sind mehr als drei Herzen türkis?</t>
  </si>
  <si>
    <t>Ist jedes Herz türkis?</t>
  </si>
  <si>
    <t>Ist kein Herz türkis?</t>
  </si>
  <si>
    <t>schwarz</t>
  </si>
  <si>
    <t>Sind weniger als vier Quadrate schwarz?</t>
  </si>
  <si>
    <t>black</t>
  </si>
  <si>
    <t>Sind mehr als vier Quadrate schwarz?</t>
  </si>
  <si>
    <t>Ist jedes Quadrat schwarz?</t>
  </si>
  <si>
    <t>Ist kein Quadrat schwarz?</t>
  </si>
  <si>
    <t>Sind weniger als drei Kreise grau?</t>
  </si>
  <si>
    <t>Sind mehr als drei Kreise grau?</t>
  </si>
  <si>
    <t>Ist jeder Kreis grau?</t>
  </si>
  <si>
    <t>Ist kein Kreis grau?</t>
  </si>
  <si>
    <t>rot</t>
  </si>
  <si>
    <t>Sind weniger als vier Dreiecke rot?</t>
  </si>
  <si>
    <t>Sind mehr als vier Dreiecke rot?</t>
  </si>
  <si>
    <t>Ist jedes Dreieck rot?</t>
  </si>
  <si>
    <t>Ist kein Dreieck rot?</t>
  </si>
  <si>
    <t>Sind weniger als drei Kreise türkis?</t>
  </si>
  <si>
    <t>Sind mehr als drei Kreise türkis?</t>
  </si>
  <si>
    <t>Ist jeder Kreis türkis?</t>
  </si>
  <si>
    <t>Ist kein Kreis türkis?</t>
  </si>
  <si>
    <t>gelb</t>
  </si>
  <si>
    <t>Sind weniger als drei Kreise gelb?</t>
  </si>
  <si>
    <t>left</t>
  </si>
  <si>
    <t>Sind mehr als drei Kreise gelb?</t>
  </si>
  <si>
    <t>Ist jeder Kreis gelb?</t>
  </si>
  <si>
    <t>Ist kein Kreis gelb?</t>
  </si>
  <si>
    <t>Sind weniger als vier Kreuze grau?</t>
  </si>
  <si>
    <t>Sind mehr als vier Kreuze grau?</t>
  </si>
  <si>
    <t>Ist jedes Kreuz grau?</t>
  </si>
  <si>
    <t>Ist kein Kreuz grau?</t>
  </si>
  <si>
    <t>Sind weniger als drei Dreiecke schwarz?</t>
  </si>
  <si>
    <t>Sind mehr als drei Dreiecke schwarz?</t>
  </si>
  <si>
    <t>Ist jedes Dreieck schwarz?</t>
  </si>
  <si>
    <t>Ist kein Dreieck schwarz?</t>
  </si>
  <si>
    <t>Sind weniger als vier Kreuze pink?</t>
  </si>
  <si>
    <t>Sind mehr als vier Kreuze pink?</t>
  </si>
  <si>
    <t>Ist jedes Kreuz pink?</t>
  </si>
  <si>
    <t>Ist kein Kreuz pink?</t>
  </si>
  <si>
    <t>Sind weniger als drei Dreiecke blau?</t>
  </si>
  <si>
    <t>Sind mehr als drei Dreiecke blau?</t>
  </si>
  <si>
    <t>Ist jedes Dreieck blau?</t>
  </si>
  <si>
    <t>Ist kein Dreieck blau?</t>
  </si>
  <si>
    <t>grün</t>
  </si>
  <si>
    <t>Sind weniger als vier Herzen grün?</t>
  </si>
  <si>
    <t>Sind mehr als vier Herzen grün?</t>
  </si>
  <si>
    <t>Ist jedes Herz grün?</t>
  </si>
  <si>
    <t>Ist kein Herz grün?</t>
  </si>
  <si>
    <t>Sind weniger als drei Quadrate lila?</t>
  </si>
  <si>
    <t>Sind mehr als drei Quadrate lila?</t>
  </si>
  <si>
    <t>Ist jedes Quadrat lila?</t>
  </si>
  <si>
    <t>Ist kein Quadrat lila?</t>
  </si>
  <si>
    <t>Sind weniger als vier Quadrate orange?</t>
  </si>
  <si>
    <t>Sind mehr als vier Quadrate orange?</t>
  </si>
  <si>
    <t>Ist jedes Quadrat orange?</t>
  </si>
  <si>
    <t>Ist kein Quadrat orange?</t>
  </si>
  <si>
    <t>Sind weniger als vier Kreuze gelb?</t>
  </si>
  <si>
    <t>Sind mehr als vier Kreuze gelb?</t>
  </si>
  <si>
    <t>Ist jedes Kreuz gelb?</t>
  </si>
  <si>
    <t>Ist kein Kreuz gelb?</t>
  </si>
  <si>
    <t>Sind weniger als drei Herzen pink?</t>
  </si>
  <si>
    <t>Sind mehr als drei Herzen pink?</t>
  </si>
  <si>
    <t>Ist jedes Herz pink?</t>
  </si>
  <si>
    <t>Ist kein Herz pink?</t>
  </si>
  <si>
    <t>psp_violation_target_right</t>
  </si>
  <si>
    <t>Dreieck</t>
  </si>
  <si>
    <t>1;2</t>
  </si>
  <si>
    <t>target_target_right</t>
  </si>
  <si>
    <t>true_control_target_right</t>
  </si>
  <si>
    <t>false_control_target_right</t>
  </si>
  <si>
    <t>psp_violation_target_left</t>
  </si>
  <si>
    <t>3;4</t>
  </si>
  <si>
    <t>target_target_left</t>
  </si>
  <si>
    <t>true_control_target_left</t>
  </si>
  <si>
    <t>false_control_target_left</t>
  </si>
  <si>
    <t>Quadrat</t>
  </si>
  <si>
    <t>Herz</t>
  </si>
  <si>
    <t>Kreuz</t>
  </si>
  <si>
    <t>Kreis</t>
  </si>
  <si>
    <t>Kreuze</t>
  </si>
  <si>
    <t>all_lists</t>
  </si>
  <si>
    <t>Quadrate</t>
  </si>
  <si>
    <t>Kreise</t>
  </si>
  <si>
    <t>Herzen</t>
  </si>
  <si>
    <t>Dreiecke</t>
  </si>
  <si>
    <t>einige</t>
  </si>
  <si>
    <t>einige_some_but_not_all</t>
  </si>
  <si>
    <t>einige_all</t>
  </si>
  <si>
    <t>up_to_zero</t>
  </si>
  <si>
    <t>at_most_zero</t>
  </si>
  <si>
    <t>Filler</t>
  </si>
  <si>
    <t>psp_failure_definite_filler</t>
  </si>
  <si>
    <t>Ist das Quadrat gelb?</t>
  </si>
  <si>
    <t>Ist der Kreis rot?</t>
  </si>
  <si>
    <t>Ist das Dreieck blau?</t>
  </si>
  <si>
    <t>Ist das Kreuz braun?</t>
  </si>
  <si>
    <t>Ist das Herz rot?</t>
  </si>
  <si>
    <t>Ist das Quadrat blau?</t>
  </si>
  <si>
    <t>Ist der Kreis lila?</t>
  </si>
  <si>
    <t>Ist das Dreieck grün?</t>
  </si>
  <si>
    <t>Ist das Kreuz rot?</t>
  </si>
  <si>
    <t>Ist das Herz türkis?</t>
  </si>
  <si>
    <t>psp_failure_both</t>
  </si>
  <si>
    <t>Sind beide Quadrate rot?</t>
  </si>
  <si>
    <t>Sind beide Herzen gelb?</t>
  </si>
  <si>
    <t>Sind beide Kreuze lila?</t>
  </si>
  <si>
    <t>Sind beide Dreiecke blau?</t>
  </si>
  <si>
    <t>Sind beide Kreise grün?</t>
  </si>
  <si>
    <t>ue1</t>
  </si>
  <si>
    <t>Sind mehr als drei der insgesamt sieben Dreiecke blau?</t>
  </si>
  <si>
    <t>ue2</t>
  </si>
  <si>
    <t>Ist jedes der drei Quadrate grün?</t>
  </si>
  <si>
    <t>ue3</t>
  </si>
  <si>
    <t>Sind mindestens zwei Kreuze gelb?</t>
  </si>
  <si>
    <t>ue4</t>
  </si>
  <si>
    <t>Sind genau zwei Kreise rot?</t>
  </si>
  <si>
    <t>ue5</t>
  </si>
  <si>
    <t>Sind höchstens drei Kreuze grau?</t>
  </si>
  <si>
    <t>ue6</t>
  </si>
  <si>
    <t>Sind alle Dreiecke rot?</t>
  </si>
  <si>
    <t>ESQ</t>
  </si>
  <si>
    <t>DIST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</si>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</sst>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/>
    <xf numFmtId="0" fontId="1" fillId="6" borderId="2" xfId="0" applyFont="1" applyFill="1" applyBorder="1"/>
    <xf numFmtId="0" fontId="0" fillId="7" borderId="1" xfId="0" applyFill="1" applyBorder="1"/>
    <xf numFmtId="0" fontId="0" fillId="7" borderId="2" xfId="0" applyFill="1" applyBorder="1"/>
  </cellXfs>
  <cellStyles count="1">
    <cellStyle name="Standard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0000000-0016-0000-0000-000000000000}" autoFormatId="16" applyNumberFormats="0" applyBorderFormats="0" applyFontFormats="0" applyPatternFormats="0" applyAlignmentFormats="0" applyWidthHeightFormats="0">
  <queryTableRefresh nextId="30" unboundColumnsLeft="1">
    <queryTableFields count="25">
      <queryTableField id="25" dataBound="0" tableColumnId="1"/>
      <queryTableField id="1" name="Item" tableColumnId="2"/>
      <queryTableField id="2" name="Condition" tableColumnId="3"/>
      <queryTableField id="29" dataBound="0" tableColumnId="4"/>
      <queryTableField id="3" name="quantifier" tableColumnId="5"/>
      <queryTableField id="4" name="scenario" tableColumnId="6"/>
      <queryTableField id="21" dataBound="0" tableColumnId="7"/>
      <queryTableField id="19" name="Column1" tableColumnId="8"/>
      <queryTableField id="24" dataBound="0" tableColumnId="9"/>
      <queryTableField id="26" dataBound="0" tableColumnId="10"/>
      <queryTableField id="27" dataBound="0" tableColumnId="11"/>
      <queryTableField id="5" name="Sentence_german" tableColumnId="12"/>
      <queryTableField id="28" dataBound="0" tableColumnId="13"/>
      <queryTableField id="7" name="list" tableColumnId="14"/>
      <queryTableField id="8" name="target_objects" tableColumnId="15"/>
      <queryTableField id="9" name="Form_left" tableColumnId="16"/>
      <queryTableField id="10" name="colour1_left" tableColumnId="17"/>
      <queryTableField id="11" name="n_colour1_left" tableColumnId="18"/>
      <queryTableField id="12" name="colour2_left" tableColumnId="19"/>
      <queryTableField id="13" name="n_colour2_left" tableColumnId="20"/>
      <queryTableField id="14" name="Form_right" tableColumnId="21"/>
      <queryTableField id="15" name="colour1_right" tableColumnId="22"/>
      <queryTableField id="16" name="n_colour1_right" tableColumnId="23"/>
      <queryTableField id="17" name="colour2_right" tableColumnId="24"/>
      <queryTableField id="18" name="n_colour2_right" tableColumnId="25"/>
    </queryTableFields>
    <queryTableDeletedFields count="1">
      <deletedField name="Sentence_englis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imuli_table" displayName="stimuli_table" ref="A1:Y446" tableType="queryTable">
  <autoFilter ref="A1:Y446" xr:uid="{00000000-0009-0000-0100-000001000000}"/>
  <sortState xmlns:xlrd2="http://schemas.microsoft.com/office/spreadsheetml/2017/richdata2" ref="A2:Y446">
    <sortCondition ref="B1:B446"/>
  </sortState>
  <tableColumns count="25">
    <tableColumn id="1" xr3:uid="{00000000-0010-0000-0000-000001000000}" uniqueName="24" name="Experiment" queryTableFieldId="25" dataDxfId="15"/>
    <tableColumn id="2" xr3:uid="{00000000-0010-0000-0000-000002000000}" uniqueName="1" name="Item" queryTableFieldId="1"/>
    <tableColumn id="3" xr3:uid="{00000000-0010-0000-0000-000003000000}" uniqueName="2" name="Condition" queryTableFieldId="2"/>
    <tableColumn id="4" xr3:uid="{00000000-0010-0000-0000-000004000000}" uniqueName="6" name="Condition_ID" queryTableFieldId="29"/>
    <tableColumn id="5" xr3:uid="{00000000-0010-0000-0000-000005000000}" uniqueName="3" name="quantifier" queryTableFieldId="3" dataDxfId="14"/>
    <tableColumn id="6" xr3:uid="{00000000-0010-0000-0000-000006000000}" uniqueName="4" name="scenario" queryTableFieldId="4" dataDxfId="13"/>
    <tableColumn id="7" xr3:uid="{00000000-0010-0000-0000-000007000000}" uniqueName="21" name="n_quantifier" queryTableFieldId="21" dataDxfId="12"/>
    <tableColumn id="8" xr3:uid="{00000000-0010-0000-0000-000008000000}" uniqueName="19" name="n_target_objects" queryTableFieldId="19" dataDxfId="11"/>
    <tableColumn id="9" xr3:uid="{00000000-0010-0000-0000-000009000000}" uniqueName="23" name="shape_noun" queryTableFieldId="24" dataDxfId="10"/>
    <tableColumn id="10" xr3:uid="{00000000-0010-0000-0000-00000A000000}" uniqueName="25" name="color_adjective1" queryTableFieldId="26" dataDxfId="9"/>
    <tableColumn id="11" xr3:uid="{00000000-0010-0000-0000-00000B000000}" uniqueName="26" name="color_adjective2" queryTableFieldId="27" dataDxfId="8"/>
    <tableColumn id="12" xr3:uid="{00000000-0010-0000-0000-00000C000000}" uniqueName="5" name="Sentence_german" queryTableFieldId="5" dataDxfId="7"/>
    <tableColumn id="13" xr3:uid="{00000000-0010-0000-0000-00000D000000}" uniqueName="20" name="Expected_answer" queryTableFieldId="28"/>
    <tableColumn id="14" xr3:uid="{00000000-0010-0000-0000-00000E000000}" uniqueName="7" name="list" queryTableFieldId="7"/>
    <tableColumn id="15" xr3:uid="{00000000-0010-0000-0000-00000F000000}" uniqueName="8" name="target_objects" queryTableFieldId="8" dataDxfId="6"/>
    <tableColumn id="16" xr3:uid="{00000000-0010-0000-0000-000010000000}" uniqueName="9" name="Form_left" queryTableFieldId="9" dataDxfId="5"/>
    <tableColumn id="17" xr3:uid="{00000000-0010-0000-0000-000011000000}" uniqueName="10" name="colour1_left" queryTableFieldId="10" dataDxfId="4"/>
    <tableColumn id="18" xr3:uid="{00000000-0010-0000-0000-000012000000}" uniqueName="11" name="n_colour1_left" queryTableFieldId="11"/>
    <tableColumn id="19" xr3:uid="{00000000-0010-0000-0000-000013000000}" uniqueName="12" name="colour2_left" queryTableFieldId="12" dataDxfId="3"/>
    <tableColumn id="20" xr3:uid="{00000000-0010-0000-0000-000014000000}" uniqueName="13" name="n_colour2_left" queryTableFieldId="13"/>
    <tableColumn id="21" xr3:uid="{00000000-0010-0000-0000-000015000000}" uniqueName="14" name="Form_right" queryTableFieldId="14" dataDxfId="2"/>
    <tableColumn id="22" xr3:uid="{00000000-0010-0000-0000-000016000000}" uniqueName="15" name="colour1_right" queryTableFieldId="15" dataDxfId="1"/>
    <tableColumn id="23" xr3:uid="{00000000-0010-0000-0000-000017000000}" uniqueName="16" name="n_colour1_right" queryTableFieldId="16"/>
    <tableColumn id="24" xr3:uid="{00000000-0010-0000-0000-000018000000}" uniqueName="17" name="colour2_right" queryTableFieldId="17" dataDxfId="0"/>
    <tableColumn id="25" xr3:uid="{00000000-0010-0000-0000-000019000000}" uniqueName="18" name="n_colour2_righ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6"/>
  <sheetViews>
    <sheetView tabSelected="1" workbookViewId="0">
      <selection activeCell="H420" sqref="H420:H431"/>
    </sheetView>
  </sheetViews>
  <sheetFormatPr baseColWidth="10" defaultRowHeight="15" x14ac:dyDescent="0.25"/>
  <cols>
    <col min="1" max="1" width="13.5703125" bestFit="1" customWidth="1"/>
    <col min="2" max="2" width="12" bestFit="1" customWidth="1"/>
    <col min="3" max="3" width="12.140625" bestFit="1" customWidth="1"/>
    <col min="4" max="4" width="15.85546875" bestFit="1" customWidth="1"/>
    <col min="5" max="5" width="24.7109375" bestFit="1" customWidth="1"/>
    <col min="6" max="6" width="18.140625" bestFit="1" customWidth="1"/>
    <col min="7" max="7" width="18.140625" customWidth="1"/>
    <col min="8" max="8" width="37.28515625" bestFit="1" customWidth="1"/>
    <col min="9" max="9" width="20.5703125" customWidth="1"/>
    <col min="10" max="10" width="25.85546875" customWidth="1"/>
    <col min="11" max="11" width="37" bestFit="1" customWidth="1"/>
    <col min="12" max="12" width="50.85546875" customWidth="1"/>
    <col min="13" max="13" width="19" bestFit="1" customWidth="1"/>
    <col min="14" max="14" width="12" bestFit="1" customWidth="1"/>
    <col min="15" max="16" width="14" bestFit="1" customWidth="1"/>
    <col min="17" max="17" width="15.7109375" customWidth="1"/>
    <col min="18" max="18" width="11.140625" customWidth="1"/>
    <col min="19" max="19" width="13" bestFit="1" customWidth="1"/>
    <col min="20" max="20" width="15" bestFit="1" customWidth="1"/>
    <col min="21" max="21" width="17.140625" bestFit="1" customWidth="1"/>
    <col min="22" max="22" width="15" bestFit="1" customWidth="1"/>
    <col min="23" max="23" width="17.140625" bestFit="1" customWidth="1"/>
    <col min="24" max="24" width="13.140625" customWidth="1"/>
    <col min="25" max="25" width="26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200</v>
      </c>
      <c r="B2">
        <v>1</v>
      </c>
      <c r="C2">
        <v>1</v>
      </c>
      <c r="D2">
        <v>1</v>
      </c>
      <c r="E2" t="s">
        <v>25</v>
      </c>
      <c r="F2" t="s">
        <v>26</v>
      </c>
      <c r="G2">
        <v>3</v>
      </c>
      <c r="H2">
        <f>stimuli_table[[#This Row],[n_colour1_right]]+stimuli_table[[#This Row],[n_colour2_right]]</f>
        <v>5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s="1">
        <v>1</v>
      </c>
      <c r="O2" t="s">
        <v>32</v>
      </c>
      <c r="P2" t="s">
        <v>33</v>
      </c>
      <c r="Q2" t="s">
        <v>34</v>
      </c>
      <c r="R2">
        <v>3</v>
      </c>
      <c r="S2" t="s">
        <v>35</v>
      </c>
      <c r="T2">
        <v>4</v>
      </c>
      <c r="U2" t="s">
        <v>36</v>
      </c>
      <c r="V2" t="s">
        <v>34</v>
      </c>
      <c r="W2">
        <v>3</v>
      </c>
      <c r="X2" t="s">
        <v>35</v>
      </c>
      <c r="Y2">
        <v>2</v>
      </c>
    </row>
    <row r="3" spans="1:25" x14ac:dyDescent="0.25">
      <c r="A3" t="s">
        <v>200</v>
      </c>
      <c r="B3">
        <v>1</v>
      </c>
      <c r="C3">
        <v>2</v>
      </c>
      <c r="D3">
        <v>2</v>
      </c>
      <c r="E3" t="s">
        <v>25</v>
      </c>
      <c r="F3" t="s">
        <v>37</v>
      </c>
      <c r="G3">
        <v>3</v>
      </c>
      <c r="H3">
        <f>stimuli_table[[#This Row],[n_colour1_right]]+stimuli_table[[#This Row],[n_colour2_right]]</f>
        <v>5</v>
      </c>
      <c r="I3" t="s">
        <v>27</v>
      </c>
      <c r="J3" t="s">
        <v>28</v>
      </c>
      <c r="K3" t="s">
        <v>29</v>
      </c>
      <c r="L3" t="s">
        <v>30</v>
      </c>
      <c r="M3" t="s">
        <v>38</v>
      </c>
      <c r="N3" s="1">
        <v>2</v>
      </c>
      <c r="O3" t="s">
        <v>32</v>
      </c>
      <c r="P3" t="s">
        <v>33</v>
      </c>
      <c r="Q3" t="s">
        <v>34</v>
      </c>
      <c r="R3">
        <v>3</v>
      </c>
      <c r="S3" t="s">
        <v>35</v>
      </c>
      <c r="T3">
        <v>4</v>
      </c>
      <c r="U3" t="s">
        <v>27</v>
      </c>
      <c r="V3" t="s">
        <v>34</v>
      </c>
      <c r="W3">
        <v>0</v>
      </c>
      <c r="X3" t="s">
        <v>35</v>
      </c>
      <c r="Y3">
        <v>5</v>
      </c>
    </row>
    <row r="4" spans="1:25" x14ac:dyDescent="0.25">
      <c r="A4" t="s">
        <v>200</v>
      </c>
      <c r="B4">
        <v>1</v>
      </c>
      <c r="C4">
        <v>3</v>
      </c>
      <c r="D4">
        <v>3</v>
      </c>
      <c r="E4" t="s">
        <v>25</v>
      </c>
      <c r="F4" t="s">
        <v>39</v>
      </c>
      <c r="G4">
        <v>3</v>
      </c>
      <c r="H4">
        <f>stimuli_table[[#This Row],[n_colour1_right]]+stimuli_table[[#This Row],[n_colour2_right]]</f>
        <v>5</v>
      </c>
      <c r="I4" t="s">
        <v>27</v>
      </c>
      <c r="J4" t="s">
        <v>28</v>
      </c>
      <c r="K4" t="s">
        <v>29</v>
      </c>
      <c r="L4" t="s">
        <v>30</v>
      </c>
      <c r="M4" t="s">
        <v>38</v>
      </c>
      <c r="N4" s="1">
        <v>3</v>
      </c>
      <c r="O4" t="s">
        <v>32</v>
      </c>
      <c r="P4" t="s">
        <v>33</v>
      </c>
      <c r="Q4" t="s">
        <v>34</v>
      </c>
      <c r="R4">
        <v>3</v>
      </c>
      <c r="S4" t="s">
        <v>35</v>
      </c>
      <c r="T4">
        <v>4</v>
      </c>
      <c r="U4" t="s">
        <v>27</v>
      </c>
      <c r="V4" t="s">
        <v>34</v>
      </c>
      <c r="W4">
        <v>1</v>
      </c>
      <c r="X4" t="s">
        <v>35</v>
      </c>
      <c r="Y4">
        <v>4</v>
      </c>
    </row>
    <row r="5" spans="1:25" x14ac:dyDescent="0.25">
      <c r="A5" t="s">
        <v>200</v>
      </c>
      <c r="B5">
        <v>1</v>
      </c>
      <c r="C5">
        <v>4</v>
      </c>
      <c r="D5">
        <v>4</v>
      </c>
      <c r="E5" t="s">
        <v>25</v>
      </c>
      <c r="F5" t="s">
        <v>40</v>
      </c>
      <c r="G5">
        <v>3</v>
      </c>
      <c r="H5">
        <f>stimuli_table[[#This Row],[n_colour1_right]]+stimuli_table[[#This Row],[n_colour2_right]]</f>
        <v>5</v>
      </c>
      <c r="I5" t="s">
        <v>27</v>
      </c>
      <c r="J5" t="s">
        <v>28</v>
      </c>
      <c r="K5" t="s">
        <v>29</v>
      </c>
      <c r="L5" t="s">
        <v>30</v>
      </c>
      <c r="M5" t="s">
        <v>41</v>
      </c>
      <c r="N5" s="1">
        <v>4</v>
      </c>
      <c r="O5" t="s">
        <v>32</v>
      </c>
      <c r="P5" t="s">
        <v>33</v>
      </c>
      <c r="Q5" t="s">
        <v>34</v>
      </c>
      <c r="R5">
        <v>3</v>
      </c>
      <c r="S5" t="s">
        <v>35</v>
      </c>
      <c r="T5">
        <v>4</v>
      </c>
      <c r="U5" t="s">
        <v>27</v>
      </c>
      <c r="V5" t="s">
        <v>34</v>
      </c>
      <c r="W5">
        <v>5</v>
      </c>
      <c r="X5" t="s">
        <v>35</v>
      </c>
      <c r="Y5">
        <v>0</v>
      </c>
    </row>
    <row r="6" spans="1:25" x14ac:dyDescent="0.25">
      <c r="A6" t="s">
        <v>200</v>
      </c>
      <c r="B6">
        <v>1</v>
      </c>
      <c r="C6">
        <v>1</v>
      </c>
      <c r="D6">
        <v>5</v>
      </c>
      <c r="E6" t="s">
        <v>42</v>
      </c>
      <c r="F6" t="s">
        <v>26</v>
      </c>
      <c r="G6">
        <v>3</v>
      </c>
      <c r="H6">
        <f>stimuli_table[[#This Row],[n_colour1_right]]+stimuli_table[[#This Row],[n_colour2_right]]</f>
        <v>5</v>
      </c>
      <c r="I6" t="s">
        <v>27</v>
      </c>
      <c r="J6" t="s">
        <v>28</v>
      </c>
      <c r="K6" t="s">
        <v>29</v>
      </c>
      <c r="L6" t="s">
        <v>43</v>
      </c>
      <c r="M6" t="s">
        <v>31</v>
      </c>
      <c r="N6" s="2">
        <v>2</v>
      </c>
      <c r="O6" t="s">
        <v>32</v>
      </c>
      <c r="P6" t="s">
        <v>33</v>
      </c>
      <c r="Q6" t="s">
        <v>34</v>
      </c>
      <c r="R6">
        <v>3</v>
      </c>
      <c r="S6" t="s">
        <v>35</v>
      </c>
      <c r="T6">
        <v>4</v>
      </c>
      <c r="U6" t="s">
        <v>36</v>
      </c>
      <c r="V6" t="s">
        <v>34</v>
      </c>
      <c r="W6">
        <v>3</v>
      </c>
      <c r="X6" t="s">
        <v>35</v>
      </c>
      <c r="Y6">
        <v>2</v>
      </c>
    </row>
    <row r="7" spans="1:25" x14ac:dyDescent="0.25">
      <c r="A7" t="s">
        <v>200</v>
      </c>
      <c r="B7">
        <v>1</v>
      </c>
      <c r="C7">
        <v>2</v>
      </c>
      <c r="D7">
        <v>6</v>
      </c>
      <c r="E7" t="s">
        <v>42</v>
      </c>
      <c r="F7" t="s">
        <v>37</v>
      </c>
      <c r="G7">
        <v>3</v>
      </c>
      <c r="H7">
        <f>stimuli_table[[#This Row],[n_colour1_right]]+stimuli_table[[#This Row],[n_colour2_right]]</f>
        <v>5</v>
      </c>
      <c r="I7" t="s">
        <v>27</v>
      </c>
      <c r="J7" t="s">
        <v>28</v>
      </c>
      <c r="K7" t="s">
        <v>29</v>
      </c>
      <c r="L7" t="s">
        <v>43</v>
      </c>
      <c r="M7" t="s">
        <v>41</v>
      </c>
      <c r="N7" s="2">
        <v>3</v>
      </c>
      <c r="O7" t="s">
        <v>32</v>
      </c>
      <c r="P7" t="s">
        <v>33</v>
      </c>
      <c r="Q7" t="s">
        <v>34</v>
      </c>
      <c r="R7">
        <v>3</v>
      </c>
      <c r="S7" t="s">
        <v>35</v>
      </c>
      <c r="T7">
        <v>4</v>
      </c>
      <c r="U7" t="s">
        <v>27</v>
      </c>
      <c r="V7" t="s">
        <v>34</v>
      </c>
      <c r="W7">
        <v>0</v>
      </c>
      <c r="X7" t="s">
        <v>35</v>
      </c>
      <c r="Y7">
        <v>5</v>
      </c>
    </row>
    <row r="8" spans="1:25" x14ac:dyDescent="0.25">
      <c r="A8" t="s">
        <v>200</v>
      </c>
      <c r="B8">
        <v>1</v>
      </c>
      <c r="C8">
        <v>3</v>
      </c>
      <c r="D8">
        <v>7</v>
      </c>
      <c r="E8" t="s">
        <v>42</v>
      </c>
      <c r="F8" t="s">
        <v>39</v>
      </c>
      <c r="G8">
        <v>3</v>
      </c>
      <c r="H8">
        <f>stimuli_table[[#This Row],[n_colour1_right]]+stimuli_table[[#This Row],[n_colour2_right]]</f>
        <v>5</v>
      </c>
      <c r="I8" t="s">
        <v>27</v>
      </c>
      <c r="J8" t="s">
        <v>28</v>
      </c>
      <c r="K8" t="s">
        <v>29</v>
      </c>
      <c r="L8" t="s">
        <v>43</v>
      </c>
      <c r="M8" t="s">
        <v>41</v>
      </c>
      <c r="N8" s="2">
        <v>4</v>
      </c>
      <c r="O8" t="s">
        <v>32</v>
      </c>
      <c r="P8" t="s">
        <v>33</v>
      </c>
      <c r="Q8" t="s">
        <v>34</v>
      </c>
      <c r="R8">
        <v>3</v>
      </c>
      <c r="S8" t="s">
        <v>35</v>
      </c>
      <c r="T8">
        <v>4</v>
      </c>
      <c r="U8" t="s">
        <v>27</v>
      </c>
      <c r="V8" t="s">
        <v>34</v>
      </c>
      <c r="W8">
        <v>1</v>
      </c>
      <c r="X8" t="s">
        <v>35</v>
      </c>
      <c r="Y8">
        <v>4</v>
      </c>
    </row>
    <row r="9" spans="1:25" x14ac:dyDescent="0.25">
      <c r="A9" t="s">
        <v>200</v>
      </c>
      <c r="B9">
        <v>1</v>
      </c>
      <c r="C9">
        <v>4</v>
      </c>
      <c r="D9">
        <v>8</v>
      </c>
      <c r="E9" t="s">
        <v>42</v>
      </c>
      <c r="F9" t="s">
        <v>40</v>
      </c>
      <c r="G9">
        <v>3</v>
      </c>
      <c r="H9">
        <f>stimuli_table[[#This Row],[n_colour1_right]]+stimuli_table[[#This Row],[n_colour2_right]]</f>
        <v>5</v>
      </c>
      <c r="I9" t="s">
        <v>27</v>
      </c>
      <c r="J9" t="s">
        <v>28</v>
      </c>
      <c r="K9" t="s">
        <v>29</v>
      </c>
      <c r="L9" t="s">
        <v>43</v>
      </c>
      <c r="M9" t="s">
        <v>38</v>
      </c>
      <c r="N9" s="2">
        <v>1</v>
      </c>
      <c r="O9" t="s">
        <v>32</v>
      </c>
      <c r="P9" t="s">
        <v>33</v>
      </c>
      <c r="Q9" t="s">
        <v>34</v>
      </c>
      <c r="R9">
        <v>3</v>
      </c>
      <c r="S9" t="s">
        <v>35</v>
      </c>
      <c r="T9">
        <v>4</v>
      </c>
      <c r="U9" t="s">
        <v>27</v>
      </c>
      <c r="V9" t="s">
        <v>34</v>
      </c>
      <c r="W9">
        <v>5</v>
      </c>
      <c r="X9" t="s">
        <v>35</v>
      </c>
      <c r="Y9">
        <v>0</v>
      </c>
    </row>
    <row r="10" spans="1:25" x14ac:dyDescent="0.25">
      <c r="A10" t="s">
        <v>200</v>
      </c>
      <c r="B10">
        <v>1</v>
      </c>
      <c r="C10">
        <v>1</v>
      </c>
      <c r="D10">
        <v>9</v>
      </c>
      <c r="E10" t="s">
        <v>44</v>
      </c>
      <c r="F10" t="s">
        <v>26</v>
      </c>
      <c r="G10">
        <v>3</v>
      </c>
      <c r="H10">
        <f>stimuli_table[[#This Row],[n_colour1_right]]+stimuli_table[[#This Row],[n_colour2_right]]</f>
        <v>5</v>
      </c>
      <c r="I10" t="s">
        <v>27</v>
      </c>
      <c r="J10" t="s">
        <v>28</v>
      </c>
      <c r="K10" t="s">
        <v>29</v>
      </c>
      <c r="L10" t="s">
        <v>45</v>
      </c>
      <c r="M10" t="s">
        <v>31</v>
      </c>
      <c r="N10" s="3">
        <v>3</v>
      </c>
      <c r="O10" t="s">
        <v>32</v>
      </c>
      <c r="P10" t="s">
        <v>33</v>
      </c>
      <c r="Q10" t="s">
        <v>34</v>
      </c>
      <c r="R10">
        <v>3</v>
      </c>
      <c r="S10" t="s">
        <v>35</v>
      </c>
      <c r="T10">
        <v>4</v>
      </c>
      <c r="U10" t="s">
        <v>36</v>
      </c>
      <c r="V10" t="s">
        <v>34</v>
      </c>
      <c r="W10">
        <v>3</v>
      </c>
      <c r="X10" t="s">
        <v>35</v>
      </c>
      <c r="Y10">
        <v>2</v>
      </c>
    </row>
    <row r="11" spans="1:25" x14ac:dyDescent="0.25">
      <c r="A11" t="s">
        <v>200</v>
      </c>
      <c r="B11">
        <v>1</v>
      </c>
      <c r="C11">
        <v>2</v>
      </c>
      <c r="D11">
        <v>10</v>
      </c>
      <c r="E11" t="s">
        <v>44</v>
      </c>
      <c r="F11" t="s">
        <v>37</v>
      </c>
      <c r="G11">
        <v>3</v>
      </c>
      <c r="H11">
        <f>stimuli_table[[#This Row],[n_colour1_right]]+stimuli_table[[#This Row],[n_colour2_right]]</f>
        <v>5</v>
      </c>
      <c r="I11" t="s">
        <v>27</v>
      </c>
      <c r="J11" t="s">
        <v>28</v>
      </c>
      <c r="K11" t="s">
        <v>29</v>
      </c>
      <c r="L11" t="s">
        <v>45</v>
      </c>
      <c r="M11" t="s">
        <v>41</v>
      </c>
      <c r="N11" s="3">
        <v>4</v>
      </c>
      <c r="O11" t="s">
        <v>32</v>
      </c>
      <c r="P11" t="s">
        <v>33</v>
      </c>
      <c r="Q11" t="s">
        <v>34</v>
      </c>
      <c r="R11">
        <v>3</v>
      </c>
      <c r="S11" t="s">
        <v>35</v>
      </c>
      <c r="T11">
        <v>4</v>
      </c>
      <c r="U11" t="s">
        <v>27</v>
      </c>
      <c r="V11" t="s">
        <v>34</v>
      </c>
      <c r="W11">
        <v>0</v>
      </c>
      <c r="X11" t="s">
        <v>35</v>
      </c>
      <c r="Y11">
        <v>5</v>
      </c>
    </row>
    <row r="12" spans="1:25" x14ac:dyDescent="0.25">
      <c r="A12" t="s">
        <v>200</v>
      </c>
      <c r="B12">
        <v>1</v>
      </c>
      <c r="C12">
        <v>3</v>
      </c>
      <c r="D12">
        <v>11</v>
      </c>
      <c r="E12" t="s">
        <v>44</v>
      </c>
      <c r="F12" t="s">
        <v>39</v>
      </c>
      <c r="G12">
        <v>3</v>
      </c>
      <c r="H12">
        <f>stimuli_table[[#This Row],[n_colour1_right]]+stimuli_table[[#This Row],[n_colour2_right]]</f>
        <v>5</v>
      </c>
      <c r="I12" t="s">
        <v>27</v>
      </c>
      <c r="J12" t="s">
        <v>28</v>
      </c>
      <c r="K12" t="s">
        <v>29</v>
      </c>
      <c r="L12" t="s">
        <v>45</v>
      </c>
      <c r="M12" t="s">
        <v>41</v>
      </c>
      <c r="N12" s="3">
        <v>1</v>
      </c>
      <c r="O12" t="s">
        <v>32</v>
      </c>
      <c r="P12" t="s">
        <v>33</v>
      </c>
      <c r="Q12" t="s">
        <v>34</v>
      </c>
      <c r="R12">
        <v>3</v>
      </c>
      <c r="S12" t="s">
        <v>35</v>
      </c>
      <c r="T12">
        <v>4</v>
      </c>
      <c r="U12" t="s">
        <v>27</v>
      </c>
      <c r="V12" t="s">
        <v>34</v>
      </c>
      <c r="W12">
        <v>1</v>
      </c>
      <c r="X12" t="s">
        <v>35</v>
      </c>
      <c r="Y12">
        <v>4</v>
      </c>
    </row>
    <row r="13" spans="1:25" x14ac:dyDescent="0.25">
      <c r="A13" t="s">
        <v>200</v>
      </c>
      <c r="B13">
        <v>1</v>
      </c>
      <c r="C13">
        <v>4</v>
      </c>
      <c r="D13">
        <v>12</v>
      </c>
      <c r="E13" t="s">
        <v>44</v>
      </c>
      <c r="F13" t="s">
        <v>40</v>
      </c>
      <c r="G13">
        <v>3</v>
      </c>
      <c r="H13">
        <f>stimuli_table[[#This Row],[n_colour1_right]]+stimuli_table[[#This Row],[n_colour2_right]]</f>
        <v>5</v>
      </c>
      <c r="I13" t="s">
        <v>27</v>
      </c>
      <c r="J13" t="s">
        <v>28</v>
      </c>
      <c r="K13" t="s">
        <v>29</v>
      </c>
      <c r="L13" t="s">
        <v>45</v>
      </c>
      <c r="M13" t="s">
        <v>38</v>
      </c>
      <c r="N13" s="3">
        <v>2</v>
      </c>
      <c r="O13" t="s">
        <v>32</v>
      </c>
      <c r="P13" t="s">
        <v>33</v>
      </c>
      <c r="Q13" t="s">
        <v>34</v>
      </c>
      <c r="R13">
        <v>3</v>
      </c>
      <c r="S13" t="s">
        <v>35</v>
      </c>
      <c r="T13">
        <v>4</v>
      </c>
      <c r="U13" t="s">
        <v>27</v>
      </c>
      <c r="V13" t="s">
        <v>34</v>
      </c>
      <c r="W13">
        <v>5</v>
      </c>
      <c r="X13" t="s">
        <v>35</v>
      </c>
      <c r="Y13">
        <v>0</v>
      </c>
    </row>
    <row r="14" spans="1:25" x14ac:dyDescent="0.25">
      <c r="A14" t="s">
        <v>200</v>
      </c>
      <c r="B14">
        <v>1</v>
      </c>
      <c r="C14">
        <v>1</v>
      </c>
      <c r="D14">
        <v>13</v>
      </c>
      <c r="E14" t="s">
        <v>46</v>
      </c>
      <c r="F14" t="s">
        <v>26</v>
      </c>
      <c r="G14">
        <v>3</v>
      </c>
      <c r="H14">
        <f>stimuli_table[[#This Row],[n_colour1_right]]+stimuli_table[[#This Row],[n_colour2_right]]</f>
        <v>5</v>
      </c>
      <c r="I14" t="s">
        <v>27</v>
      </c>
      <c r="J14" t="s">
        <v>28</v>
      </c>
      <c r="K14" t="s">
        <v>29</v>
      </c>
      <c r="L14" t="s">
        <v>47</v>
      </c>
      <c r="M14" t="s">
        <v>31</v>
      </c>
      <c r="N14" s="4">
        <v>4</v>
      </c>
      <c r="O14" t="s">
        <v>32</v>
      </c>
      <c r="P14" t="s">
        <v>33</v>
      </c>
      <c r="Q14" t="s">
        <v>34</v>
      </c>
      <c r="R14">
        <v>3</v>
      </c>
      <c r="S14" t="s">
        <v>35</v>
      </c>
      <c r="T14">
        <v>4</v>
      </c>
      <c r="U14" t="s">
        <v>36</v>
      </c>
      <c r="V14" t="s">
        <v>34</v>
      </c>
      <c r="W14">
        <v>3</v>
      </c>
      <c r="X14" t="s">
        <v>35</v>
      </c>
      <c r="Y14">
        <v>2</v>
      </c>
    </row>
    <row r="15" spans="1:25" x14ac:dyDescent="0.25">
      <c r="A15" t="s">
        <v>200</v>
      </c>
      <c r="B15">
        <v>1</v>
      </c>
      <c r="C15">
        <v>2</v>
      </c>
      <c r="D15">
        <v>14</v>
      </c>
      <c r="E15" t="s">
        <v>46</v>
      </c>
      <c r="F15" t="s">
        <v>37</v>
      </c>
      <c r="G15">
        <v>3</v>
      </c>
      <c r="H15">
        <f>stimuli_table[[#This Row],[n_colour1_right]]+stimuli_table[[#This Row],[n_colour2_right]]</f>
        <v>5</v>
      </c>
      <c r="I15" t="s">
        <v>27</v>
      </c>
      <c r="J15" t="s">
        <v>28</v>
      </c>
      <c r="K15" t="s">
        <v>29</v>
      </c>
      <c r="L15" t="s">
        <v>47</v>
      </c>
      <c r="M15" t="s">
        <v>38</v>
      </c>
      <c r="N15" s="4">
        <v>1</v>
      </c>
      <c r="O15" t="s">
        <v>32</v>
      </c>
      <c r="P15" t="s">
        <v>33</v>
      </c>
      <c r="Q15" t="s">
        <v>34</v>
      </c>
      <c r="R15">
        <v>3</v>
      </c>
      <c r="S15" t="s">
        <v>35</v>
      </c>
      <c r="T15">
        <v>4</v>
      </c>
      <c r="U15" t="s">
        <v>27</v>
      </c>
      <c r="V15" t="s">
        <v>34</v>
      </c>
      <c r="W15">
        <v>0</v>
      </c>
      <c r="X15" t="s">
        <v>35</v>
      </c>
      <c r="Y15">
        <v>5</v>
      </c>
    </row>
    <row r="16" spans="1:25" x14ac:dyDescent="0.25">
      <c r="A16" t="s">
        <v>200</v>
      </c>
      <c r="B16">
        <v>1</v>
      </c>
      <c r="C16">
        <v>3</v>
      </c>
      <c r="D16">
        <v>15</v>
      </c>
      <c r="E16" t="s">
        <v>46</v>
      </c>
      <c r="F16" t="s">
        <v>39</v>
      </c>
      <c r="G16">
        <v>3</v>
      </c>
      <c r="H16">
        <f>stimuli_table[[#This Row],[n_colour1_right]]+stimuli_table[[#This Row],[n_colour2_right]]</f>
        <v>5</v>
      </c>
      <c r="I16" t="s">
        <v>27</v>
      </c>
      <c r="J16" t="s">
        <v>28</v>
      </c>
      <c r="K16" t="s">
        <v>29</v>
      </c>
      <c r="L16" t="s">
        <v>47</v>
      </c>
      <c r="M16" t="s">
        <v>41</v>
      </c>
      <c r="N16" s="4">
        <v>2</v>
      </c>
      <c r="O16" t="s">
        <v>32</v>
      </c>
      <c r="P16" t="s">
        <v>33</v>
      </c>
      <c r="Q16" t="s">
        <v>34</v>
      </c>
      <c r="R16">
        <v>3</v>
      </c>
      <c r="S16" t="s">
        <v>35</v>
      </c>
      <c r="T16">
        <v>4</v>
      </c>
      <c r="U16" t="s">
        <v>27</v>
      </c>
      <c r="V16" t="s">
        <v>34</v>
      </c>
      <c r="W16">
        <v>1</v>
      </c>
      <c r="X16" t="s">
        <v>35</v>
      </c>
      <c r="Y16">
        <v>4</v>
      </c>
    </row>
    <row r="17" spans="1:25" x14ac:dyDescent="0.25">
      <c r="A17" t="s">
        <v>200</v>
      </c>
      <c r="B17">
        <v>1</v>
      </c>
      <c r="C17">
        <v>4</v>
      </c>
      <c r="D17">
        <v>16</v>
      </c>
      <c r="E17" t="s">
        <v>46</v>
      </c>
      <c r="F17" t="s">
        <v>40</v>
      </c>
      <c r="G17">
        <v>3</v>
      </c>
      <c r="H17">
        <f>stimuli_table[[#This Row],[n_colour1_right]]+stimuli_table[[#This Row],[n_colour2_right]]</f>
        <v>5</v>
      </c>
      <c r="I17" t="s">
        <v>27</v>
      </c>
      <c r="J17" t="s">
        <v>28</v>
      </c>
      <c r="K17" t="s">
        <v>29</v>
      </c>
      <c r="L17" t="s">
        <v>47</v>
      </c>
      <c r="M17" t="s">
        <v>41</v>
      </c>
      <c r="N17" s="4">
        <v>3</v>
      </c>
      <c r="O17" t="s">
        <v>32</v>
      </c>
      <c r="P17" t="s">
        <v>33</v>
      </c>
      <c r="Q17" t="s">
        <v>34</v>
      </c>
      <c r="R17">
        <v>3</v>
      </c>
      <c r="S17" t="s">
        <v>35</v>
      </c>
      <c r="T17">
        <v>4</v>
      </c>
      <c r="U17" t="s">
        <v>27</v>
      </c>
      <c r="V17" t="s">
        <v>34</v>
      </c>
      <c r="W17">
        <v>5</v>
      </c>
      <c r="X17" t="s">
        <v>35</v>
      </c>
      <c r="Y17">
        <v>0</v>
      </c>
    </row>
    <row r="18" spans="1:25" x14ac:dyDescent="0.25">
      <c r="A18" t="s">
        <v>200</v>
      </c>
      <c r="B18">
        <v>2</v>
      </c>
      <c r="C18">
        <v>1</v>
      </c>
      <c r="D18">
        <v>1</v>
      </c>
      <c r="E18" t="s">
        <v>25</v>
      </c>
      <c r="F18" t="s">
        <v>26</v>
      </c>
      <c r="G18">
        <v>4</v>
      </c>
      <c r="H18">
        <f>stimuli_table[[#This Row],[n_colour1_right]]+stimuli_table[[#This Row],[n_colour2_right]]</f>
        <v>7</v>
      </c>
      <c r="I18" t="s">
        <v>33</v>
      </c>
      <c r="J18" t="s">
        <v>48</v>
      </c>
      <c r="K18" t="s">
        <v>29</v>
      </c>
      <c r="L18" t="s">
        <v>49</v>
      </c>
      <c r="M18" t="s">
        <v>31</v>
      </c>
      <c r="N18" s="2">
        <v>2</v>
      </c>
      <c r="O18" t="s">
        <v>32</v>
      </c>
      <c r="P18" t="s">
        <v>50</v>
      </c>
      <c r="Q18" t="s">
        <v>48</v>
      </c>
      <c r="R18">
        <v>4</v>
      </c>
      <c r="S18" t="s">
        <v>51</v>
      </c>
      <c r="T18">
        <v>5</v>
      </c>
      <c r="U18" t="s">
        <v>52</v>
      </c>
      <c r="V18" t="s">
        <v>48</v>
      </c>
      <c r="W18">
        <v>3</v>
      </c>
      <c r="X18" t="s">
        <v>51</v>
      </c>
      <c r="Y18">
        <v>4</v>
      </c>
    </row>
    <row r="19" spans="1:25" x14ac:dyDescent="0.25">
      <c r="A19" t="s">
        <v>200</v>
      </c>
      <c r="B19">
        <v>2</v>
      </c>
      <c r="C19">
        <v>2</v>
      </c>
      <c r="D19">
        <v>2</v>
      </c>
      <c r="E19" t="s">
        <v>25</v>
      </c>
      <c r="F19" t="s">
        <v>37</v>
      </c>
      <c r="G19">
        <v>4</v>
      </c>
      <c r="H19">
        <f>stimuli_table[[#This Row],[n_colour1_right]]+stimuli_table[[#This Row],[n_colour2_right]]</f>
        <v>7</v>
      </c>
      <c r="I19" t="s">
        <v>33</v>
      </c>
      <c r="J19" t="s">
        <v>48</v>
      </c>
      <c r="K19" t="s">
        <v>29</v>
      </c>
      <c r="L19" t="s">
        <v>49</v>
      </c>
      <c r="M19" t="s">
        <v>38</v>
      </c>
      <c r="N19" s="2">
        <v>3</v>
      </c>
      <c r="O19" t="s">
        <v>32</v>
      </c>
      <c r="P19" t="s">
        <v>50</v>
      </c>
      <c r="Q19" t="s">
        <v>48</v>
      </c>
      <c r="R19">
        <v>4</v>
      </c>
      <c r="S19" t="s">
        <v>51</v>
      </c>
      <c r="T19">
        <v>5</v>
      </c>
      <c r="U19" t="s">
        <v>33</v>
      </c>
      <c r="V19" t="s">
        <v>48</v>
      </c>
      <c r="W19">
        <v>0</v>
      </c>
      <c r="X19" t="s">
        <v>51</v>
      </c>
      <c r="Y19">
        <v>7</v>
      </c>
    </row>
    <row r="20" spans="1:25" x14ac:dyDescent="0.25">
      <c r="A20" t="s">
        <v>200</v>
      </c>
      <c r="B20">
        <v>2</v>
      </c>
      <c r="C20">
        <v>3</v>
      </c>
      <c r="D20">
        <v>3</v>
      </c>
      <c r="E20" t="s">
        <v>25</v>
      </c>
      <c r="F20" t="s">
        <v>39</v>
      </c>
      <c r="G20">
        <v>4</v>
      </c>
      <c r="H20">
        <f>stimuli_table[[#This Row],[n_colour1_right]]+stimuli_table[[#This Row],[n_colour2_right]]</f>
        <v>7</v>
      </c>
      <c r="I20" t="s">
        <v>33</v>
      </c>
      <c r="J20" t="s">
        <v>48</v>
      </c>
      <c r="K20" t="s">
        <v>29</v>
      </c>
      <c r="L20" t="s">
        <v>49</v>
      </c>
      <c r="M20" t="s">
        <v>38</v>
      </c>
      <c r="N20" s="2">
        <v>4</v>
      </c>
      <c r="O20" t="s">
        <v>32</v>
      </c>
      <c r="P20" t="s">
        <v>50</v>
      </c>
      <c r="Q20" t="s">
        <v>48</v>
      </c>
      <c r="R20">
        <v>4</v>
      </c>
      <c r="S20" t="s">
        <v>51</v>
      </c>
      <c r="T20">
        <v>5</v>
      </c>
      <c r="U20" t="s">
        <v>33</v>
      </c>
      <c r="V20" t="s">
        <v>48</v>
      </c>
      <c r="W20">
        <v>1</v>
      </c>
      <c r="X20" t="s">
        <v>51</v>
      </c>
      <c r="Y20">
        <v>6</v>
      </c>
    </row>
    <row r="21" spans="1:25" x14ac:dyDescent="0.25">
      <c r="A21" t="s">
        <v>200</v>
      </c>
      <c r="B21">
        <v>2</v>
      </c>
      <c r="C21">
        <v>4</v>
      </c>
      <c r="D21">
        <v>4</v>
      </c>
      <c r="E21" t="s">
        <v>25</v>
      </c>
      <c r="F21" t="s">
        <v>40</v>
      </c>
      <c r="G21">
        <v>4</v>
      </c>
      <c r="H21">
        <f>stimuli_table[[#This Row],[n_colour1_right]]+stimuli_table[[#This Row],[n_colour2_right]]</f>
        <v>7</v>
      </c>
      <c r="I21" t="s">
        <v>33</v>
      </c>
      <c r="J21" t="s">
        <v>48</v>
      </c>
      <c r="K21" t="s">
        <v>29</v>
      </c>
      <c r="L21" t="s">
        <v>49</v>
      </c>
      <c r="M21" t="s">
        <v>41</v>
      </c>
      <c r="N21" s="2">
        <v>1</v>
      </c>
      <c r="O21" t="s">
        <v>32</v>
      </c>
      <c r="P21" t="s">
        <v>50</v>
      </c>
      <c r="Q21" t="s">
        <v>48</v>
      </c>
      <c r="R21">
        <v>4</v>
      </c>
      <c r="S21" t="s">
        <v>51</v>
      </c>
      <c r="T21">
        <v>5</v>
      </c>
      <c r="U21" t="s">
        <v>33</v>
      </c>
      <c r="V21" t="s">
        <v>48</v>
      </c>
      <c r="W21">
        <v>7</v>
      </c>
      <c r="X21" t="s">
        <v>51</v>
      </c>
      <c r="Y21">
        <v>0</v>
      </c>
    </row>
    <row r="22" spans="1:25" x14ac:dyDescent="0.25">
      <c r="A22" t="s">
        <v>200</v>
      </c>
      <c r="B22">
        <v>2</v>
      </c>
      <c r="C22">
        <v>1</v>
      </c>
      <c r="D22">
        <v>5</v>
      </c>
      <c r="E22" t="s">
        <v>42</v>
      </c>
      <c r="F22" t="s">
        <v>26</v>
      </c>
      <c r="G22">
        <v>4</v>
      </c>
      <c r="H22">
        <f>stimuli_table[[#This Row],[n_colour1_right]]+stimuli_table[[#This Row],[n_colour2_right]]</f>
        <v>7</v>
      </c>
      <c r="I22" t="s">
        <v>33</v>
      </c>
      <c r="J22" t="s">
        <v>48</v>
      </c>
      <c r="K22" t="s">
        <v>29</v>
      </c>
      <c r="L22" t="s">
        <v>53</v>
      </c>
      <c r="M22" t="s">
        <v>31</v>
      </c>
      <c r="N22" s="3">
        <v>3</v>
      </c>
      <c r="O22" t="s">
        <v>32</v>
      </c>
      <c r="P22" t="s">
        <v>50</v>
      </c>
      <c r="Q22" t="s">
        <v>48</v>
      </c>
      <c r="R22">
        <v>4</v>
      </c>
      <c r="S22" t="s">
        <v>51</v>
      </c>
      <c r="T22">
        <v>5</v>
      </c>
      <c r="U22" t="s">
        <v>52</v>
      </c>
      <c r="V22" t="s">
        <v>48</v>
      </c>
      <c r="W22">
        <v>3</v>
      </c>
      <c r="X22" t="s">
        <v>51</v>
      </c>
      <c r="Y22">
        <v>4</v>
      </c>
    </row>
    <row r="23" spans="1:25" x14ac:dyDescent="0.25">
      <c r="A23" t="s">
        <v>200</v>
      </c>
      <c r="B23">
        <v>2</v>
      </c>
      <c r="C23">
        <v>2</v>
      </c>
      <c r="D23">
        <v>6</v>
      </c>
      <c r="E23" t="s">
        <v>42</v>
      </c>
      <c r="F23" t="s">
        <v>37</v>
      </c>
      <c r="G23">
        <v>4</v>
      </c>
      <c r="H23">
        <f>stimuli_table[[#This Row],[n_colour1_right]]+stimuli_table[[#This Row],[n_colour2_right]]</f>
        <v>7</v>
      </c>
      <c r="I23" t="s">
        <v>33</v>
      </c>
      <c r="J23" t="s">
        <v>48</v>
      </c>
      <c r="K23" t="s">
        <v>29</v>
      </c>
      <c r="L23" t="s">
        <v>53</v>
      </c>
      <c r="M23" t="s">
        <v>41</v>
      </c>
      <c r="N23" s="3">
        <v>4</v>
      </c>
      <c r="O23" t="s">
        <v>32</v>
      </c>
      <c r="P23" t="s">
        <v>50</v>
      </c>
      <c r="Q23" t="s">
        <v>48</v>
      </c>
      <c r="R23">
        <v>4</v>
      </c>
      <c r="S23" t="s">
        <v>51</v>
      </c>
      <c r="T23">
        <v>5</v>
      </c>
      <c r="U23" t="s">
        <v>33</v>
      </c>
      <c r="V23" t="s">
        <v>48</v>
      </c>
      <c r="W23">
        <v>0</v>
      </c>
      <c r="X23" t="s">
        <v>51</v>
      </c>
      <c r="Y23">
        <v>7</v>
      </c>
    </row>
    <row r="24" spans="1:25" x14ac:dyDescent="0.25">
      <c r="A24" t="s">
        <v>200</v>
      </c>
      <c r="B24">
        <v>2</v>
      </c>
      <c r="C24">
        <v>3</v>
      </c>
      <c r="D24">
        <v>7</v>
      </c>
      <c r="E24" t="s">
        <v>42</v>
      </c>
      <c r="F24" t="s">
        <v>39</v>
      </c>
      <c r="G24">
        <v>4</v>
      </c>
      <c r="H24">
        <f>stimuli_table[[#This Row],[n_colour1_right]]+stimuli_table[[#This Row],[n_colour2_right]]</f>
        <v>7</v>
      </c>
      <c r="I24" t="s">
        <v>33</v>
      </c>
      <c r="J24" t="s">
        <v>48</v>
      </c>
      <c r="K24" t="s">
        <v>29</v>
      </c>
      <c r="L24" t="s">
        <v>53</v>
      </c>
      <c r="M24" t="s">
        <v>41</v>
      </c>
      <c r="N24" s="3">
        <v>1</v>
      </c>
      <c r="O24" t="s">
        <v>32</v>
      </c>
      <c r="P24" t="s">
        <v>50</v>
      </c>
      <c r="Q24" t="s">
        <v>48</v>
      </c>
      <c r="R24">
        <v>4</v>
      </c>
      <c r="S24" t="s">
        <v>51</v>
      </c>
      <c r="T24">
        <v>5</v>
      </c>
      <c r="U24" t="s">
        <v>33</v>
      </c>
      <c r="V24" t="s">
        <v>48</v>
      </c>
      <c r="W24">
        <v>1</v>
      </c>
      <c r="X24" t="s">
        <v>51</v>
      </c>
      <c r="Y24">
        <v>6</v>
      </c>
    </row>
    <row r="25" spans="1:25" x14ac:dyDescent="0.25">
      <c r="A25" t="s">
        <v>200</v>
      </c>
      <c r="B25">
        <v>2</v>
      </c>
      <c r="C25">
        <v>4</v>
      </c>
      <c r="D25">
        <v>8</v>
      </c>
      <c r="E25" t="s">
        <v>42</v>
      </c>
      <c r="F25" t="s">
        <v>40</v>
      </c>
      <c r="G25">
        <v>4</v>
      </c>
      <c r="H25">
        <f>stimuli_table[[#This Row],[n_colour1_right]]+stimuli_table[[#This Row],[n_colour2_right]]</f>
        <v>7</v>
      </c>
      <c r="I25" t="s">
        <v>33</v>
      </c>
      <c r="J25" t="s">
        <v>48</v>
      </c>
      <c r="K25" t="s">
        <v>29</v>
      </c>
      <c r="L25" t="s">
        <v>53</v>
      </c>
      <c r="M25" t="s">
        <v>38</v>
      </c>
      <c r="N25" s="3">
        <v>2</v>
      </c>
      <c r="O25" t="s">
        <v>32</v>
      </c>
      <c r="P25" t="s">
        <v>50</v>
      </c>
      <c r="Q25" t="s">
        <v>48</v>
      </c>
      <c r="R25">
        <v>4</v>
      </c>
      <c r="S25" t="s">
        <v>51</v>
      </c>
      <c r="T25">
        <v>5</v>
      </c>
      <c r="U25" t="s">
        <v>33</v>
      </c>
      <c r="V25" t="s">
        <v>48</v>
      </c>
      <c r="W25">
        <v>7</v>
      </c>
      <c r="X25" t="s">
        <v>51</v>
      </c>
      <c r="Y25">
        <v>0</v>
      </c>
    </row>
    <row r="26" spans="1:25" x14ac:dyDescent="0.25">
      <c r="A26" t="s">
        <v>200</v>
      </c>
      <c r="B26">
        <v>2</v>
      </c>
      <c r="C26">
        <v>1</v>
      </c>
      <c r="D26">
        <v>9</v>
      </c>
      <c r="E26" t="s">
        <v>44</v>
      </c>
      <c r="F26" t="s">
        <v>26</v>
      </c>
      <c r="G26">
        <v>4</v>
      </c>
      <c r="H26">
        <f>stimuli_table[[#This Row],[n_colour1_right]]+stimuli_table[[#This Row],[n_colour2_right]]</f>
        <v>7</v>
      </c>
      <c r="I26" t="s">
        <v>33</v>
      </c>
      <c r="J26" t="s">
        <v>48</v>
      </c>
      <c r="K26" t="s">
        <v>29</v>
      </c>
      <c r="L26" t="s">
        <v>54</v>
      </c>
      <c r="M26" t="s">
        <v>31</v>
      </c>
      <c r="N26" s="4">
        <v>4</v>
      </c>
      <c r="O26" t="s">
        <v>32</v>
      </c>
      <c r="P26" t="s">
        <v>50</v>
      </c>
      <c r="Q26" t="s">
        <v>48</v>
      </c>
      <c r="R26">
        <v>4</v>
      </c>
      <c r="S26" t="s">
        <v>51</v>
      </c>
      <c r="T26">
        <v>5</v>
      </c>
      <c r="U26" t="s">
        <v>52</v>
      </c>
      <c r="V26" t="s">
        <v>48</v>
      </c>
      <c r="W26">
        <v>3</v>
      </c>
      <c r="X26" t="s">
        <v>51</v>
      </c>
      <c r="Y26">
        <v>4</v>
      </c>
    </row>
    <row r="27" spans="1:25" x14ac:dyDescent="0.25">
      <c r="A27" t="s">
        <v>200</v>
      </c>
      <c r="B27">
        <v>2</v>
      </c>
      <c r="C27">
        <v>2</v>
      </c>
      <c r="D27">
        <v>10</v>
      </c>
      <c r="E27" t="s">
        <v>44</v>
      </c>
      <c r="F27" t="s">
        <v>37</v>
      </c>
      <c r="G27">
        <v>4</v>
      </c>
      <c r="H27">
        <f>stimuli_table[[#This Row],[n_colour1_right]]+stimuli_table[[#This Row],[n_colour2_right]]</f>
        <v>7</v>
      </c>
      <c r="I27" t="s">
        <v>33</v>
      </c>
      <c r="J27" t="s">
        <v>48</v>
      </c>
      <c r="K27" t="s">
        <v>29</v>
      </c>
      <c r="L27" t="s">
        <v>54</v>
      </c>
      <c r="M27" t="s">
        <v>41</v>
      </c>
      <c r="N27" s="4">
        <v>1</v>
      </c>
      <c r="O27" t="s">
        <v>32</v>
      </c>
      <c r="P27" t="s">
        <v>50</v>
      </c>
      <c r="Q27" t="s">
        <v>48</v>
      </c>
      <c r="R27">
        <v>4</v>
      </c>
      <c r="S27" t="s">
        <v>51</v>
      </c>
      <c r="T27">
        <v>5</v>
      </c>
      <c r="U27" t="s">
        <v>33</v>
      </c>
      <c r="V27" t="s">
        <v>48</v>
      </c>
      <c r="W27">
        <v>0</v>
      </c>
      <c r="X27" t="s">
        <v>51</v>
      </c>
      <c r="Y27">
        <v>7</v>
      </c>
    </row>
    <row r="28" spans="1:25" x14ac:dyDescent="0.25">
      <c r="A28" t="s">
        <v>200</v>
      </c>
      <c r="B28">
        <v>2</v>
      </c>
      <c r="C28">
        <v>3</v>
      </c>
      <c r="D28">
        <v>11</v>
      </c>
      <c r="E28" t="s">
        <v>44</v>
      </c>
      <c r="F28" t="s">
        <v>39</v>
      </c>
      <c r="G28">
        <v>4</v>
      </c>
      <c r="H28">
        <f>stimuli_table[[#This Row],[n_colour1_right]]+stimuli_table[[#This Row],[n_colour2_right]]</f>
        <v>7</v>
      </c>
      <c r="I28" t="s">
        <v>33</v>
      </c>
      <c r="J28" t="s">
        <v>48</v>
      </c>
      <c r="K28" t="s">
        <v>29</v>
      </c>
      <c r="L28" t="s">
        <v>54</v>
      </c>
      <c r="M28" t="s">
        <v>41</v>
      </c>
      <c r="N28" s="4">
        <v>2</v>
      </c>
      <c r="O28" t="s">
        <v>32</v>
      </c>
      <c r="P28" t="s">
        <v>50</v>
      </c>
      <c r="Q28" t="s">
        <v>48</v>
      </c>
      <c r="R28">
        <v>4</v>
      </c>
      <c r="S28" t="s">
        <v>51</v>
      </c>
      <c r="T28">
        <v>5</v>
      </c>
      <c r="U28" t="s">
        <v>33</v>
      </c>
      <c r="V28" t="s">
        <v>48</v>
      </c>
      <c r="W28">
        <v>1</v>
      </c>
      <c r="X28" t="s">
        <v>51</v>
      </c>
      <c r="Y28">
        <v>6</v>
      </c>
    </row>
    <row r="29" spans="1:25" x14ac:dyDescent="0.25">
      <c r="A29" t="s">
        <v>200</v>
      </c>
      <c r="B29">
        <v>2</v>
      </c>
      <c r="C29">
        <v>4</v>
      </c>
      <c r="D29">
        <v>12</v>
      </c>
      <c r="E29" t="s">
        <v>44</v>
      </c>
      <c r="F29" t="s">
        <v>40</v>
      </c>
      <c r="G29">
        <v>4</v>
      </c>
      <c r="H29">
        <f>stimuli_table[[#This Row],[n_colour1_right]]+stimuli_table[[#This Row],[n_colour2_right]]</f>
        <v>7</v>
      </c>
      <c r="I29" t="s">
        <v>33</v>
      </c>
      <c r="J29" t="s">
        <v>48</v>
      </c>
      <c r="K29" t="s">
        <v>29</v>
      </c>
      <c r="L29" t="s">
        <v>54</v>
      </c>
      <c r="M29" t="s">
        <v>38</v>
      </c>
      <c r="N29" s="4">
        <v>3</v>
      </c>
      <c r="O29" t="s">
        <v>32</v>
      </c>
      <c r="P29" t="s">
        <v>50</v>
      </c>
      <c r="Q29" t="s">
        <v>48</v>
      </c>
      <c r="R29">
        <v>4</v>
      </c>
      <c r="S29" t="s">
        <v>51</v>
      </c>
      <c r="T29">
        <v>5</v>
      </c>
      <c r="U29" t="s">
        <v>33</v>
      </c>
      <c r="V29" t="s">
        <v>48</v>
      </c>
      <c r="W29">
        <v>7</v>
      </c>
      <c r="X29" t="s">
        <v>51</v>
      </c>
      <c r="Y29">
        <v>0</v>
      </c>
    </row>
    <row r="30" spans="1:25" x14ac:dyDescent="0.25">
      <c r="A30" t="s">
        <v>200</v>
      </c>
      <c r="B30">
        <v>2</v>
      </c>
      <c r="C30">
        <v>1</v>
      </c>
      <c r="D30">
        <v>13</v>
      </c>
      <c r="E30" t="s">
        <v>46</v>
      </c>
      <c r="F30" t="s">
        <v>26</v>
      </c>
      <c r="G30">
        <v>4</v>
      </c>
      <c r="H30">
        <f>stimuli_table[[#This Row],[n_colour1_right]]+stimuli_table[[#This Row],[n_colour2_right]]</f>
        <v>7</v>
      </c>
      <c r="I30" t="s">
        <v>33</v>
      </c>
      <c r="J30" t="s">
        <v>48</v>
      </c>
      <c r="K30" t="s">
        <v>29</v>
      </c>
      <c r="L30" t="s">
        <v>55</v>
      </c>
      <c r="M30" t="s">
        <v>31</v>
      </c>
      <c r="N30" s="1">
        <v>1</v>
      </c>
      <c r="O30" t="s">
        <v>32</v>
      </c>
      <c r="P30" t="s">
        <v>50</v>
      </c>
      <c r="Q30" t="s">
        <v>48</v>
      </c>
      <c r="R30">
        <v>4</v>
      </c>
      <c r="S30" t="s">
        <v>51</v>
      </c>
      <c r="T30">
        <v>5</v>
      </c>
      <c r="U30" t="s">
        <v>52</v>
      </c>
      <c r="V30" t="s">
        <v>48</v>
      </c>
      <c r="W30">
        <v>3</v>
      </c>
      <c r="X30" t="s">
        <v>51</v>
      </c>
      <c r="Y30">
        <v>4</v>
      </c>
    </row>
    <row r="31" spans="1:25" x14ac:dyDescent="0.25">
      <c r="A31" t="s">
        <v>200</v>
      </c>
      <c r="B31">
        <v>2</v>
      </c>
      <c r="C31">
        <v>2</v>
      </c>
      <c r="D31">
        <v>14</v>
      </c>
      <c r="E31" t="s">
        <v>46</v>
      </c>
      <c r="F31" t="s">
        <v>37</v>
      </c>
      <c r="G31">
        <v>4</v>
      </c>
      <c r="H31">
        <f>stimuli_table[[#This Row],[n_colour1_right]]+stimuli_table[[#This Row],[n_colour2_right]]</f>
        <v>7</v>
      </c>
      <c r="I31" t="s">
        <v>33</v>
      </c>
      <c r="J31" t="s">
        <v>48</v>
      </c>
      <c r="K31" t="s">
        <v>29</v>
      </c>
      <c r="L31" t="s">
        <v>55</v>
      </c>
      <c r="M31" t="s">
        <v>38</v>
      </c>
      <c r="N31" s="1">
        <v>2</v>
      </c>
      <c r="O31" t="s">
        <v>32</v>
      </c>
      <c r="P31" t="s">
        <v>50</v>
      </c>
      <c r="Q31" t="s">
        <v>48</v>
      </c>
      <c r="R31">
        <v>4</v>
      </c>
      <c r="S31" t="s">
        <v>51</v>
      </c>
      <c r="T31">
        <v>5</v>
      </c>
      <c r="U31" t="s">
        <v>33</v>
      </c>
      <c r="V31" t="s">
        <v>48</v>
      </c>
      <c r="W31">
        <v>0</v>
      </c>
      <c r="X31" t="s">
        <v>51</v>
      </c>
      <c r="Y31">
        <v>7</v>
      </c>
    </row>
    <row r="32" spans="1:25" x14ac:dyDescent="0.25">
      <c r="A32" t="s">
        <v>200</v>
      </c>
      <c r="B32">
        <v>2</v>
      </c>
      <c r="C32">
        <v>3</v>
      </c>
      <c r="D32">
        <v>15</v>
      </c>
      <c r="E32" t="s">
        <v>46</v>
      </c>
      <c r="F32" t="s">
        <v>39</v>
      </c>
      <c r="G32">
        <v>4</v>
      </c>
      <c r="H32">
        <f>stimuli_table[[#This Row],[n_colour1_right]]+stimuli_table[[#This Row],[n_colour2_right]]</f>
        <v>7</v>
      </c>
      <c r="I32" t="s">
        <v>33</v>
      </c>
      <c r="J32" t="s">
        <v>48</v>
      </c>
      <c r="K32" t="s">
        <v>29</v>
      </c>
      <c r="L32" t="s">
        <v>55</v>
      </c>
      <c r="M32" t="s">
        <v>41</v>
      </c>
      <c r="N32" s="1">
        <v>3</v>
      </c>
      <c r="O32" t="s">
        <v>32</v>
      </c>
      <c r="P32" t="s">
        <v>50</v>
      </c>
      <c r="Q32" t="s">
        <v>48</v>
      </c>
      <c r="R32">
        <v>4</v>
      </c>
      <c r="S32" t="s">
        <v>51</v>
      </c>
      <c r="T32">
        <v>5</v>
      </c>
      <c r="U32" t="s">
        <v>33</v>
      </c>
      <c r="V32" t="s">
        <v>48</v>
      </c>
      <c r="W32">
        <v>1</v>
      </c>
      <c r="X32" t="s">
        <v>51</v>
      </c>
      <c r="Y32">
        <v>6</v>
      </c>
    </row>
    <row r="33" spans="1:25" x14ac:dyDescent="0.25">
      <c r="A33" t="s">
        <v>200</v>
      </c>
      <c r="B33">
        <v>2</v>
      </c>
      <c r="C33">
        <v>4</v>
      </c>
      <c r="D33">
        <v>16</v>
      </c>
      <c r="E33" t="s">
        <v>46</v>
      </c>
      <c r="F33" t="s">
        <v>40</v>
      </c>
      <c r="G33">
        <v>4</v>
      </c>
      <c r="H33">
        <f>stimuli_table[[#This Row],[n_colour1_right]]+stimuli_table[[#This Row],[n_colour2_right]]</f>
        <v>7</v>
      </c>
      <c r="I33" t="s">
        <v>33</v>
      </c>
      <c r="J33" t="s">
        <v>48</v>
      </c>
      <c r="K33" t="s">
        <v>29</v>
      </c>
      <c r="L33" t="s">
        <v>55</v>
      </c>
      <c r="M33" t="s">
        <v>41</v>
      </c>
      <c r="N33" s="1">
        <v>4</v>
      </c>
      <c r="O33" t="s">
        <v>32</v>
      </c>
      <c r="P33" t="s">
        <v>50</v>
      </c>
      <c r="Q33" t="s">
        <v>48</v>
      </c>
      <c r="R33">
        <v>4</v>
      </c>
      <c r="S33" t="s">
        <v>51</v>
      </c>
      <c r="T33">
        <v>5</v>
      </c>
      <c r="U33" t="s">
        <v>33</v>
      </c>
      <c r="V33" t="s">
        <v>48</v>
      </c>
      <c r="W33">
        <v>7</v>
      </c>
      <c r="X33" t="s">
        <v>51</v>
      </c>
      <c r="Y33">
        <v>0</v>
      </c>
    </row>
    <row r="34" spans="1:25" x14ac:dyDescent="0.25">
      <c r="A34" t="s">
        <v>200</v>
      </c>
      <c r="B34">
        <v>3</v>
      </c>
      <c r="C34">
        <v>1</v>
      </c>
      <c r="D34">
        <v>1</v>
      </c>
      <c r="E34" t="s">
        <v>25</v>
      </c>
      <c r="F34" t="s">
        <v>26</v>
      </c>
      <c r="G34">
        <v>4</v>
      </c>
      <c r="H34">
        <f>stimuli_table[[#This Row],[n_colour1_right]]+stimuli_table[[#This Row],[n_colour2_right]]</f>
        <v>6</v>
      </c>
      <c r="I34" t="s">
        <v>50</v>
      </c>
      <c r="J34" t="s">
        <v>56</v>
      </c>
      <c r="K34" t="s">
        <v>29</v>
      </c>
      <c r="L34" t="s">
        <v>57</v>
      </c>
      <c r="M34" t="s">
        <v>31</v>
      </c>
      <c r="N34" s="3">
        <v>3</v>
      </c>
      <c r="O34" t="s">
        <v>32</v>
      </c>
      <c r="P34" t="s">
        <v>36</v>
      </c>
      <c r="Q34" t="s">
        <v>58</v>
      </c>
      <c r="R34">
        <v>2</v>
      </c>
      <c r="S34" t="s">
        <v>59</v>
      </c>
      <c r="T34">
        <v>3</v>
      </c>
      <c r="U34" t="s">
        <v>27</v>
      </c>
      <c r="V34" t="s">
        <v>58</v>
      </c>
      <c r="W34">
        <v>3</v>
      </c>
      <c r="X34" t="s">
        <v>59</v>
      </c>
      <c r="Y34">
        <v>3</v>
      </c>
    </row>
    <row r="35" spans="1:25" x14ac:dyDescent="0.25">
      <c r="A35" t="s">
        <v>200</v>
      </c>
      <c r="B35">
        <v>3</v>
      </c>
      <c r="C35">
        <v>2</v>
      </c>
      <c r="D35">
        <v>2</v>
      </c>
      <c r="E35" t="s">
        <v>25</v>
      </c>
      <c r="F35" t="s">
        <v>37</v>
      </c>
      <c r="G35">
        <v>4</v>
      </c>
      <c r="H35">
        <f>stimuli_table[[#This Row],[n_colour1_right]]+stimuli_table[[#This Row],[n_colour2_right]]</f>
        <v>6</v>
      </c>
      <c r="I35" t="s">
        <v>50</v>
      </c>
      <c r="J35" t="s">
        <v>56</v>
      </c>
      <c r="K35" t="s">
        <v>29</v>
      </c>
      <c r="L35" t="s">
        <v>57</v>
      </c>
      <c r="M35" t="s">
        <v>38</v>
      </c>
      <c r="N35" s="3">
        <v>4</v>
      </c>
      <c r="O35" t="s">
        <v>32</v>
      </c>
      <c r="P35" t="s">
        <v>36</v>
      </c>
      <c r="Q35" t="s">
        <v>58</v>
      </c>
      <c r="R35">
        <v>2</v>
      </c>
      <c r="S35" t="s">
        <v>59</v>
      </c>
      <c r="T35">
        <v>3</v>
      </c>
      <c r="U35" t="s">
        <v>50</v>
      </c>
      <c r="V35" t="s">
        <v>58</v>
      </c>
      <c r="W35">
        <v>0</v>
      </c>
      <c r="X35" t="s">
        <v>59</v>
      </c>
      <c r="Y35">
        <v>6</v>
      </c>
    </row>
    <row r="36" spans="1:25" x14ac:dyDescent="0.25">
      <c r="A36" t="s">
        <v>200</v>
      </c>
      <c r="B36">
        <v>3</v>
      </c>
      <c r="C36">
        <v>3</v>
      </c>
      <c r="D36">
        <v>3</v>
      </c>
      <c r="E36" t="s">
        <v>25</v>
      </c>
      <c r="F36" t="s">
        <v>39</v>
      </c>
      <c r="G36">
        <v>4</v>
      </c>
      <c r="H36">
        <f>stimuli_table[[#This Row],[n_colour1_right]]+stimuli_table[[#This Row],[n_colour2_right]]</f>
        <v>6</v>
      </c>
      <c r="I36" t="s">
        <v>50</v>
      </c>
      <c r="J36" t="s">
        <v>56</v>
      </c>
      <c r="K36" t="s">
        <v>29</v>
      </c>
      <c r="L36" t="s">
        <v>57</v>
      </c>
      <c r="M36" t="s">
        <v>38</v>
      </c>
      <c r="N36" s="3">
        <v>1</v>
      </c>
      <c r="O36" t="s">
        <v>32</v>
      </c>
      <c r="P36" t="s">
        <v>36</v>
      </c>
      <c r="Q36" t="s">
        <v>58</v>
      </c>
      <c r="R36">
        <v>2</v>
      </c>
      <c r="S36" t="s">
        <v>59</v>
      </c>
      <c r="T36">
        <v>3</v>
      </c>
      <c r="U36" t="s">
        <v>50</v>
      </c>
      <c r="V36" t="s">
        <v>58</v>
      </c>
      <c r="W36">
        <v>2</v>
      </c>
      <c r="X36" t="s">
        <v>59</v>
      </c>
      <c r="Y36">
        <v>4</v>
      </c>
    </row>
    <row r="37" spans="1:25" x14ac:dyDescent="0.25">
      <c r="A37" t="s">
        <v>200</v>
      </c>
      <c r="B37">
        <v>3</v>
      </c>
      <c r="C37">
        <v>4</v>
      </c>
      <c r="D37">
        <v>4</v>
      </c>
      <c r="E37" t="s">
        <v>25</v>
      </c>
      <c r="F37" t="s">
        <v>40</v>
      </c>
      <c r="G37">
        <v>4</v>
      </c>
      <c r="H37">
        <f>stimuli_table[[#This Row],[n_colour1_right]]+stimuli_table[[#This Row],[n_colour2_right]]</f>
        <v>6</v>
      </c>
      <c r="I37" t="s">
        <v>50</v>
      </c>
      <c r="J37" t="s">
        <v>56</v>
      </c>
      <c r="K37" t="s">
        <v>29</v>
      </c>
      <c r="L37" t="s">
        <v>57</v>
      </c>
      <c r="M37" t="s">
        <v>41</v>
      </c>
      <c r="N37" s="3">
        <v>2</v>
      </c>
      <c r="O37" t="s">
        <v>32</v>
      </c>
      <c r="P37" t="s">
        <v>36</v>
      </c>
      <c r="Q37" t="s">
        <v>58</v>
      </c>
      <c r="R37">
        <v>2</v>
      </c>
      <c r="S37" t="s">
        <v>59</v>
      </c>
      <c r="T37">
        <v>3</v>
      </c>
      <c r="U37" t="s">
        <v>50</v>
      </c>
      <c r="V37" t="s">
        <v>58</v>
      </c>
      <c r="W37">
        <v>6</v>
      </c>
      <c r="X37" t="s">
        <v>59</v>
      </c>
      <c r="Y37">
        <v>0</v>
      </c>
    </row>
    <row r="38" spans="1:25" x14ac:dyDescent="0.25">
      <c r="A38" t="s">
        <v>200</v>
      </c>
      <c r="B38">
        <v>3</v>
      </c>
      <c r="C38">
        <v>1</v>
      </c>
      <c r="D38">
        <v>5</v>
      </c>
      <c r="E38" t="s">
        <v>42</v>
      </c>
      <c r="F38" t="s">
        <v>26</v>
      </c>
      <c r="G38">
        <v>4</v>
      </c>
      <c r="H38">
        <f>stimuli_table[[#This Row],[n_colour1_right]]+stimuli_table[[#This Row],[n_colour2_right]]</f>
        <v>6</v>
      </c>
      <c r="I38" t="s">
        <v>50</v>
      </c>
      <c r="J38" t="s">
        <v>56</v>
      </c>
      <c r="K38" t="s">
        <v>29</v>
      </c>
      <c r="L38" t="s">
        <v>60</v>
      </c>
      <c r="M38" t="s">
        <v>31</v>
      </c>
      <c r="N38" s="4">
        <v>4</v>
      </c>
      <c r="O38" t="s">
        <v>32</v>
      </c>
      <c r="P38" t="s">
        <v>36</v>
      </c>
      <c r="Q38" t="s">
        <v>58</v>
      </c>
      <c r="R38">
        <v>2</v>
      </c>
      <c r="S38" t="s">
        <v>59</v>
      </c>
      <c r="T38">
        <v>3</v>
      </c>
      <c r="U38" t="s">
        <v>27</v>
      </c>
      <c r="V38" t="s">
        <v>58</v>
      </c>
      <c r="W38">
        <v>3</v>
      </c>
      <c r="X38" t="s">
        <v>59</v>
      </c>
      <c r="Y38">
        <v>3</v>
      </c>
    </row>
    <row r="39" spans="1:25" x14ac:dyDescent="0.25">
      <c r="A39" t="s">
        <v>200</v>
      </c>
      <c r="B39">
        <v>3</v>
      </c>
      <c r="C39">
        <v>2</v>
      </c>
      <c r="D39">
        <v>6</v>
      </c>
      <c r="E39" t="s">
        <v>42</v>
      </c>
      <c r="F39" t="s">
        <v>37</v>
      </c>
      <c r="G39">
        <v>4</v>
      </c>
      <c r="H39">
        <f>stimuli_table[[#This Row],[n_colour1_right]]+stimuli_table[[#This Row],[n_colour2_right]]</f>
        <v>6</v>
      </c>
      <c r="I39" t="s">
        <v>50</v>
      </c>
      <c r="J39" t="s">
        <v>56</v>
      </c>
      <c r="K39" t="s">
        <v>29</v>
      </c>
      <c r="L39" t="s">
        <v>60</v>
      </c>
      <c r="M39" t="s">
        <v>41</v>
      </c>
      <c r="N39" s="4">
        <v>1</v>
      </c>
      <c r="O39" t="s">
        <v>32</v>
      </c>
      <c r="P39" t="s">
        <v>36</v>
      </c>
      <c r="Q39" t="s">
        <v>58</v>
      </c>
      <c r="R39">
        <v>2</v>
      </c>
      <c r="S39" t="s">
        <v>59</v>
      </c>
      <c r="T39">
        <v>3</v>
      </c>
      <c r="U39" t="s">
        <v>50</v>
      </c>
      <c r="V39" t="s">
        <v>58</v>
      </c>
      <c r="W39">
        <v>0</v>
      </c>
      <c r="X39" t="s">
        <v>59</v>
      </c>
      <c r="Y39">
        <v>6</v>
      </c>
    </row>
    <row r="40" spans="1:25" x14ac:dyDescent="0.25">
      <c r="A40" t="s">
        <v>200</v>
      </c>
      <c r="B40">
        <v>3</v>
      </c>
      <c r="C40">
        <v>3</v>
      </c>
      <c r="D40">
        <v>7</v>
      </c>
      <c r="E40" t="s">
        <v>42</v>
      </c>
      <c r="F40" t="s">
        <v>39</v>
      </c>
      <c r="G40">
        <v>4</v>
      </c>
      <c r="H40">
        <f>stimuli_table[[#This Row],[n_colour1_right]]+stimuli_table[[#This Row],[n_colour2_right]]</f>
        <v>6</v>
      </c>
      <c r="I40" t="s">
        <v>50</v>
      </c>
      <c r="J40" t="s">
        <v>56</v>
      </c>
      <c r="K40" t="s">
        <v>29</v>
      </c>
      <c r="L40" t="s">
        <v>60</v>
      </c>
      <c r="M40" t="s">
        <v>41</v>
      </c>
      <c r="N40" s="4">
        <v>2</v>
      </c>
      <c r="O40" t="s">
        <v>32</v>
      </c>
      <c r="P40" t="s">
        <v>36</v>
      </c>
      <c r="Q40" t="s">
        <v>58</v>
      </c>
      <c r="R40">
        <v>2</v>
      </c>
      <c r="S40" t="s">
        <v>59</v>
      </c>
      <c r="T40">
        <v>3</v>
      </c>
      <c r="U40" t="s">
        <v>50</v>
      </c>
      <c r="V40" t="s">
        <v>58</v>
      </c>
      <c r="W40">
        <v>2</v>
      </c>
      <c r="X40" t="s">
        <v>59</v>
      </c>
      <c r="Y40">
        <v>4</v>
      </c>
    </row>
    <row r="41" spans="1:25" x14ac:dyDescent="0.25">
      <c r="A41" t="s">
        <v>200</v>
      </c>
      <c r="B41">
        <v>3</v>
      </c>
      <c r="C41">
        <v>4</v>
      </c>
      <c r="D41">
        <v>8</v>
      </c>
      <c r="E41" t="s">
        <v>42</v>
      </c>
      <c r="F41" t="s">
        <v>40</v>
      </c>
      <c r="G41">
        <v>4</v>
      </c>
      <c r="H41">
        <f>stimuli_table[[#This Row],[n_colour1_right]]+stimuli_table[[#This Row],[n_colour2_right]]</f>
        <v>6</v>
      </c>
      <c r="I41" t="s">
        <v>50</v>
      </c>
      <c r="J41" t="s">
        <v>56</v>
      </c>
      <c r="K41" t="s">
        <v>29</v>
      </c>
      <c r="L41" t="s">
        <v>60</v>
      </c>
      <c r="M41" t="s">
        <v>38</v>
      </c>
      <c r="N41" s="4">
        <v>3</v>
      </c>
      <c r="O41" t="s">
        <v>32</v>
      </c>
      <c r="P41" t="s">
        <v>36</v>
      </c>
      <c r="Q41" t="s">
        <v>58</v>
      </c>
      <c r="R41">
        <v>2</v>
      </c>
      <c r="S41" t="s">
        <v>59</v>
      </c>
      <c r="T41">
        <v>3</v>
      </c>
      <c r="U41" t="s">
        <v>50</v>
      </c>
      <c r="V41" t="s">
        <v>58</v>
      </c>
      <c r="W41">
        <v>6</v>
      </c>
      <c r="X41" t="s">
        <v>59</v>
      </c>
      <c r="Y41">
        <v>0</v>
      </c>
    </row>
    <row r="42" spans="1:25" x14ac:dyDescent="0.25">
      <c r="A42" t="s">
        <v>200</v>
      </c>
      <c r="B42">
        <v>3</v>
      </c>
      <c r="C42">
        <v>1</v>
      </c>
      <c r="D42">
        <v>9</v>
      </c>
      <c r="E42" t="s">
        <v>44</v>
      </c>
      <c r="F42" t="s">
        <v>26</v>
      </c>
      <c r="G42">
        <v>4</v>
      </c>
      <c r="H42">
        <f>stimuli_table[[#This Row],[n_colour1_right]]+stimuli_table[[#This Row],[n_colour2_right]]</f>
        <v>6</v>
      </c>
      <c r="I42" t="s">
        <v>50</v>
      </c>
      <c r="J42" t="s">
        <v>56</v>
      </c>
      <c r="K42" t="s">
        <v>29</v>
      </c>
      <c r="L42" t="s">
        <v>61</v>
      </c>
      <c r="M42" t="s">
        <v>31</v>
      </c>
      <c r="N42" s="1">
        <v>1</v>
      </c>
      <c r="O42" t="s">
        <v>32</v>
      </c>
      <c r="P42" t="s">
        <v>36</v>
      </c>
      <c r="Q42" t="s">
        <v>58</v>
      </c>
      <c r="R42">
        <v>2</v>
      </c>
      <c r="S42" t="s">
        <v>59</v>
      </c>
      <c r="T42">
        <v>3</v>
      </c>
      <c r="U42" t="s">
        <v>27</v>
      </c>
      <c r="V42" t="s">
        <v>58</v>
      </c>
      <c r="W42">
        <v>3</v>
      </c>
      <c r="X42" t="s">
        <v>59</v>
      </c>
      <c r="Y42">
        <v>3</v>
      </c>
    </row>
    <row r="43" spans="1:25" x14ac:dyDescent="0.25">
      <c r="A43" t="s">
        <v>200</v>
      </c>
      <c r="B43">
        <v>3</v>
      </c>
      <c r="C43">
        <v>2</v>
      </c>
      <c r="D43">
        <v>10</v>
      </c>
      <c r="E43" t="s">
        <v>44</v>
      </c>
      <c r="F43" t="s">
        <v>37</v>
      </c>
      <c r="G43">
        <v>4</v>
      </c>
      <c r="H43">
        <f>stimuli_table[[#This Row],[n_colour1_right]]+stimuli_table[[#This Row],[n_colour2_right]]</f>
        <v>6</v>
      </c>
      <c r="I43" t="s">
        <v>50</v>
      </c>
      <c r="J43" t="s">
        <v>56</v>
      </c>
      <c r="K43" t="s">
        <v>29</v>
      </c>
      <c r="L43" t="s">
        <v>61</v>
      </c>
      <c r="M43" t="s">
        <v>41</v>
      </c>
      <c r="N43" s="1">
        <v>2</v>
      </c>
      <c r="O43" t="s">
        <v>32</v>
      </c>
      <c r="P43" t="s">
        <v>36</v>
      </c>
      <c r="Q43" t="s">
        <v>58</v>
      </c>
      <c r="R43">
        <v>2</v>
      </c>
      <c r="S43" t="s">
        <v>59</v>
      </c>
      <c r="T43">
        <v>3</v>
      </c>
      <c r="U43" t="s">
        <v>50</v>
      </c>
      <c r="V43" t="s">
        <v>58</v>
      </c>
      <c r="W43">
        <v>0</v>
      </c>
      <c r="X43" t="s">
        <v>59</v>
      </c>
      <c r="Y43">
        <v>6</v>
      </c>
    </row>
    <row r="44" spans="1:25" x14ac:dyDescent="0.25">
      <c r="A44" t="s">
        <v>200</v>
      </c>
      <c r="B44">
        <v>3</v>
      </c>
      <c r="C44">
        <v>3</v>
      </c>
      <c r="D44">
        <v>11</v>
      </c>
      <c r="E44" t="s">
        <v>44</v>
      </c>
      <c r="F44" t="s">
        <v>39</v>
      </c>
      <c r="G44">
        <v>4</v>
      </c>
      <c r="H44">
        <f>stimuli_table[[#This Row],[n_colour1_right]]+stimuli_table[[#This Row],[n_colour2_right]]</f>
        <v>6</v>
      </c>
      <c r="I44" t="s">
        <v>50</v>
      </c>
      <c r="J44" t="s">
        <v>56</v>
      </c>
      <c r="K44" t="s">
        <v>29</v>
      </c>
      <c r="L44" t="s">
        <v>61</v>
      </c>
      <c r="M44" t="s">
        <v>41</v>
      </c>
      <c r="N44" s="1">
        <v>3</v>
      </c>
      <c r="O44" t="s">
        <v>32</v>
      </c>
      <c r="P44" t="s">
        <v>36</v>
      </c>
      <c r="Q44" t="s">
        <v>58</v>
      </c>
      <c r="R44">
        <v>2</v>
      </c>
      <c r="S44" t="s">
        <v>59</v>
      </c>
      <c r="T44">
        <v>3</v>
      </c>
      <c r="U44" t="s">
        <v>50</v>
      </c>
      <c r="V44" t="s">
        <v>58</v>
      </c>
      <c r="W44">
        <v>2</v>
      </c>
      <c r="X44" t="s">
        <v>59</v>
      </c>
      <c r="Y44">
        <v>4</v>
      </c>
    </row>
    <row r="45" spans="1:25" x14ac:dyDescent="0.25">
      <c r="A45" t="s">
        <v>200</v>
      </c>
      <c r="B45">
        <v>3</v>
      </c>
      <c r="C45">
        <v>4</v>
      </c>
      <c r="D45">
        <v>12</v>
      </c>
      <c r="E45" t="s">
        <v>44</v>
      </c>
      <c r="F45" t="s">
        <v>40</v>
      </c>
      <c r="G45">
        <v>4</v>
      </c>
      <c r="H45">
        <f>stimuli_table[[#This Row],[n_colour1_right]]+stimuli_table[[#This Row],[n_colour2_right]]</f>
        <v>6</v>
      </c>
      <c r="I45" t="s">
        <v>50</v>
      </c>
      <c r="J45" t="s">
        <v>56</v>
      </c>
      <c r="K45" t="s">
        <v>29</v>
      </c>
      <c r="L45" t="s">
        <v>61</v>
      </c>
      <c r="M45" t="s">
        <v>38</v>
      </c>
      <c r="N45" s="1">
        <v>4</v>
      </c>
      <c r="O45" t="s">
        <v>32</v>
      </c>
      <c r="P45" t="s">
        <v>36</v>
      </c>
      <c r="Q45" t="s">
        <v>58</v>
      </c>
      <c r="R45">
        <v>2</v>
      </c>
      <c r="S45" t="s">
        <v>59</v>
      </c>
      <c r="T45">
        <v>3</v>
      </c>
      <c r="U45" t="s">
        <v>50</v>
      </c>
      <c r="V45" t="s">
        <v>58</v>
      </c>
      <c r="W45">
        <v>6</v>
      </c>
      <c r="X45" t="s">
        <v>59</v>
      </c>
      <c r="Y45">
        <v>0</v>
      </c>
    </row>
    <row r="46" spans="1:25" x14ac:dyDescent="0.25">
      <c r="A46" t="s">
        <v>200</v>
      </c>
      <c r="B46">
        <v>3</v>
      </c>
      <c r="C46">
        <v>1</v>
      </c>
      <c r="D46">
        <v>13</v>
      </c>
      <c r="E46" t="s">
        <v>46</v>
      </c>
      <c r="F46" t="s">
        <v>26</v>
      </c>
      <c r="G46">
        <v>4</v>
      </c>
      <c r="H46">
        <f>stimuli_table[[#This Row],[n_colour1_right]]+stimuli_table[[#This Row],[n_colour2_right]]</f>
        <v>6</v>
      </c>
      <c r="I46" t="s">
        <v>50</v>
      </c>
      <c r="J46" t="s">
        <v>56</v>
      </c>
      <c r="K46" t="s">
        <v>29</v>
      </c>
      <c r="L46" t="s">
        <v>62</v>
      </c>
      <c r="M46" t="s">
        <v>31</v>
      </c>
      <c r="N46" s="2">
        <v>2</v>
      </c>
      <c r="O46" t="s">
        <v>32</v>
      </c>
      <c r="P46" t="s">
        <v>36</v>
      </c>
      <c r="Q46" t="s">
        <v>58</v>
      </c>
      <c r="R46">
        <v>2</v>
      </c>
      <c r="S46" t="s">
        <v>59</v>
      </c>
      <c r="T46">
        <v>3</v>
      </c>
      <c r="U46" t="s">
        <v>27</v>
      </c>
      <c r="V46" t="s">
        <v>58</v>
      </c>
      <c r="W46">
        <v>3</v>
      </c>
      <c r="X46" t="s">
        <v>59</v>
      </c>
      <c r="Y46">
        <v>3</v>
      </c>
    </row>
    <row r="47" spans="1:25" x14ac:dyDescent="0.25">
      <c r="A47" t="s">
        <v>200</v>
      </c>
      <c r="B47">
        <v>3</v>
      </c>
      <c r="C47">
        <v>2</v>
      </c>
      <c r="D47">
        <v>14</v>
      </c>
      <c r="E47" t="s">
        <v>46</v>
      </c>
      <c r="F47" t="s">
        <v>37</v>
      </c>
      <c r="G47">
        <v>4</v>
      </c>
      <c r="H47">
        <f>stimuli_table[[#This Row],[n_colour1_right]]+stimuli_table[[#This Row],[n_colour2_right]]</f>
        <v>6</v>
      </c>
      <c r="I47" t="s">
        <v>50</v>
      </c>
      <c r="J47" t="s">
        <v>56</v>
      </c>
      <c r="K47" t="s">
        <v>29</v>
      </c>
      <c r="L47" t="s">
        <v>62</v>
      </c>
      <c r="M47" t="s">
        <v>38</v>
      </c>
      <c r="N47" s="2">
        <v>3</v>
      </c>
      <c r="O47" t="s">
        <v>32</v>
      </c>
      <c r="P47" t="s">
        <v>36</v>
      </c>
      <c r="Q47" t="s">
        <v>58</v>
      </c>
      <c r="R47">
        <v>2</v>
      </c>
      <c r="S47" t="s">
        <v>59</v>
      </c>
      <c r="T47">
        <v>3</v>
      </c>
      <c r="U47" t="s">
        <v>50</v>
      </c>
      <c r="V47" t="s">
        <v>58</v>
      </c>
      <c r="W47">
        <v>0</v>
      </c>
      <c r="X47" t="s">
        <v>59</v>
      </c>
      <c r="Y47">
        <v>6</v>
      </c>
    </row>
    <row r="48" spans="1:25" x14ac:dyDescent="0.25">
      <c r="A48" t="s">
        <v>200</v>
      </c>
      <c r="B48">
        <v>3</v>
      </c>
      <c r="C48">
        <v>3</v>
      </c>
      <c r="D48">
        <v>15</v>
      </c>
      <c r="E48" t="s">
        <v>46</v>
      </c>
      <c r="F48" t="s">
        <v>39</v>
      </c>
      <c r="G48">
        <v>4</v>
      </c>
      <c r="H48">
        <f>stimuli_table[[#This Row],[n_colour1_right]]+stimuli_table[[#This Row],[n_colour2_right]]</f>
        <v>6</v>
      </c>
      <c r="I48" t="s">
        <v>50</v>
      </c>
      <c r="J48" t="s">
        <v>56</v>
      </c>
      <c r="K48" t="s">
        <v>29</v>
      </c>
      <c r="L48" t="s">
        <v>62</v>
      </c>
      <c r="M48" t="s">
        <v>41</v>
      </c>
      <c r="N48" s="2">
        <v>4</v>
      </c>
      <c r="O48" t="s">
        <v>32</v>
      </c>
      <c r="P48" t="s">
        <v>36</v>
      </c>
      <c r="Q48" t="s">
        <v>58</v>
      </c>
      <c r="R48">
        <v>2</v>
      </c>
      <c r="S48" t="s">
        <v>59</v>
      </c>
      <c r="T48">
        <v>3</v>
      </c>
      <c r="U48" t="s">
        <v>50</v>
      </c>
      <c r="V48" t="s">
        <v>58</v>
      </c>
      <c r="W48">
        <v>2</v>
      </c>
      <c r="X48" t="s">
        <v>59</v>
      </c>
      <c r="Y48">
        <v>4</v>
      </c>
    </row>
    <row r="49" spans="1:25" x14ac:dyDescent="0.25">
      <c r="A49" t="s">
        <v>200</v>
      </c>
      <c r="B49">
        <v>3</v>
      </c>
      <c r="C49">
        <v>4</v>
      </c>
      <c r="D49">
        <v>16</v>
      </c>
      <c r="E49" t="s">
        <v>46</v>
      </c>
      <c r="F49" t="s">
        <v>40</v>
      </c>
      <c r="G49">
        <v>4</v>
      </c>
      <c r="H49">
        <f>stimuli_table[[#This Row],[n_colour1_right]]+stimuli_table[[#This Row],[n_colour2_right]]</f>
        <v>6</v>
      </c>
      <c r="I49" t="s">
        <v>50</v>
      </c>
      <c r="J49" t="s">
        <v>56</v>
      </c>
      <c r="K49" t="s">
        <v>29</v>
      </c>
      <c r="L49" t="s">
        <v>62</v>
      </c>
      <c r="M49" t="s">
        <v>41</v>
      </c>
      <c r="N49" s="2">
        <v>1</v>
      </c>
      <c r="O49" t="s">
        <v>32</v>
      </c>
      <c r="P49" t="s">
        <v>36</v>
      </c>
      <c r="Q49" t="s">
        <v>58</v>
      </c>
      <c r="R49">
        <v>2</v>
      </c>
      <c r="S49" t="s">
        <v>59</v>
      </c>
      <c r="T49">
        <v>3</v>
      </c>
      <c r="U49" t="s">
        <v>50</v>
      </c>
      <c r="V49" t="s">
        <v>58</v>
      </c>
      <c r="W49">
        <v>6</v>
      </c>
      <c r="X49" t="s">
        <v>59</v>
      </c>
      <c r="Y49">
        <v>0</v>
      </c>
    </row>
    <row r="50" spans="1:25" x14ac:dyDescent="0.25">
      <c r="A50" t="s">
        <v>200</v>
      </c>
      <c r="B50">
        <v>4</v>
      </c>
      <c r="C50">
        <v>1</v>
      </c>
      <c r="D50">
        <v>1</v>
      </c>
      <c r="E50" t="s">
        <v>25</v>
      </c>
      <c r="F50" t="s">
        <v>26</v>
      </c>
      <c r="G50">
        <v>4</v>
      </c>
      <c r="H50">
        <f>stimuli_table[[#This Row],[n_colour1_right]]+stimuli_table[[#This Row],[n_colour2_right]]</f>
        <v>7</v>
      </c>
      <c r="I50" t="s">
        <v>52</v>
      </c>
      <c r="J50" t="s">
        <v>63</v>
      </c>
      <c r="K50" t="s">
        <v>29</v>
      </c>
      <c r="L50" t="s">
        <v>64</v>
      </c>
      <c r="M50" t="s">
        <v>31</v>
      </c>
      <c r="N50" s="4">
        <v>4</v>
      </c>
      <c r="O50" t="s">
        <v>32</v>
      </c>
      <c r="P50" t="s">
        <v>27</v>
      </c>
      <c r="Q50" t="s">
        <v>65</v>
      </c>
      <c r="R50">
        <v>1</v>
      </c>
      <c r="S50" t="s">
        <v>66</v>
      </c>
      <c r="T50">
        <v>5</v>
      </c>
      <c r="U50" t="s">
        <v>50</v>
      </c>
      <c r="V50" t="s">
        <v>65</v>
      </c>
      <c r="W50">
        <v>3</v>
      </c>
      <c r="X50" t="s">
        <v>66</v>
      </c>
      <c r="Y50">
        <v>4</v>
      </c>
    </row>
    <row r="51" spans="1:25" x14ac:dyDescent="0.25">
      <c r="A51" t="s">
        <v>200</v>
      </c>
      <c r="B51">
        <v>4</v>
      </c>
      <c r="C51">
        <v>2</v>
      </c>
      <c r="D51">
        <v>2</v>
      </c>
      <c r="E51" t="s">
        <v>25</v>
      </c>
      <c r="F51" t="s">
        <v>37</v>
      </c>
      <c r="G51">
        <v>4</v>
      </c>
      <c r="H51">
        <f>stimuli_table[[#This Row],[n_colour1_right]]+stimuli_table[[#This Row],[n_colour2_right]]</f>
        <v>7</v>
      </c>
      <c r="I51" t="s">
        <v>52</v>
      </c>
      <c r="J51" t="s">
        <v>63</v>
      </c>
      <c r="K51" t="s">
        <v>29</v>
      </c>
      <c r="L51" t="s">
        <v>64</v>
      </c>
      <c r="M51" t="s">
        <v>38</v>
      </c>
      <c r="N51" s="4">
        <v>1</v>
      </c>
      <c r="O51" t="s">
        <v>32</v>
      </c>
      <c r="P51" t="s">
        <v>27</v>
      </c>
      <c r="Q51" t="s">
        <v>65</v>
      </c>
      <c r="R51">
        <v>1</v>
      </c>
      <c r="S51" t="s">
        <v>66</v>
      </c>
      <c r="T51">
        <v>5</v>
      </c>
      <c r="U51" t="s">
        <v>52</v>
      </c>
      <c r="V51" t="s">
        <v>65</v>
      </c>
      <c r="W51">
        <v>0</v>
      </c>
      <c r="X51" t="s">
        <v>66</v>
      </c>
      <c r="Y51">
        <v>7</v>
      </c>
    </row>
    <row r="52" spans="1:25" x14ac:dyDescent="0.25">
      <c r="A52" t="s">
        <v>200</v>
      </c>
      <c r="B52">
        <v>4</v>
      </c>
      <c r="C52">
        <v>3</v>
      </c>
      <c r="D52">
        <v>3</v>
      </c>
      <c r="E52" t="s">
        <v>25</v>
      </c>
      <c r="F52" t="s">
        <v>39</v>
      </c>
      <c r="G52">
        <v>4</v>
      </c>
      <c r="H52">
        <f>stimuli_table[[#This Row],[n_colour1_right]]+stimuli_table[[#This Row],[n_colour2_right]]</f>
        <v>7</v>
      </c>
      <c r="I52" t="s">
        <v>52</v>
      </c>
      <c r="J52" t="s">
        <v>63</v>
      </c>
      <c r="K52" t="s">
        <v>29</v>
      </c>
      <c r="L52" t="s">
        <v>64</v>
      </c>
      <c r="M52" t="s">
        <v>38</v>
      </c>
      <c r="N52" s="4">
        <v>2</v>
      </c>
      <c r="O52" t="s">
        <v>32</v>
      </c>
      <c r="P52" t="s">
        <v>27</v>
      </c>
      <c r="Q52" t="s">
        <v>65</v>
      </c>
      <c r="R52">
        <v>1</v>
      </c>
      <c r="S52" t="s">
        <v>66</v>
      </c>
      <c r="T52">
        <v>5</v>
      </c>
      <c r="U52" t="s">
        <v>52</v>
      </c>
      <c r="V52" t="s">
        <v>65</v>
      </c>
      <c r="W52">
        <v>2</v>
      </c>
      <c r="X52" t="s">
        <v>66</v>
      </c>
      <c r="Y52">
        <v>5</v>
      </c>
    </row>
    <row r="53" spans="1:25" x14ac:dyDescent="0.25">
      <c r="A53" t="s">
        <v>200</v>
      </c>
      <c r="B53">
        <v>4</v>
      </c>
      <c r="C53">
        <v>4</v>
      </c>
      <c r="D53">
        <v>4</v>
      </c>
      <c r="E53" t="s">
        <v>25</v>
      </c>
      <c r="F53" t="s">
        <v>40</v>
      </c>
      <c r="G53">
        <v>4</v>
      </c>
      <c r="H53">
        <f>stimuli_table[[#This Row],[n_colour1_right]]+stimuli_table[[#This Row],[n_colour2_right]]</f>
        <v>7</v>
      </c>
      <c r="I53" t="s">
        <v>52</v>
      </c>
      <c r="J53" t="s">
        <v>63</v>
      </c>
      <c r="K53" t="s">
        <v>29</v>
      </c>
      <c r="L53" t="s">
        <v>64</v>
      </c>
      <c r="M53" t="s">
        <v>41</v>
      </c>
      <c r="N53" s="4">
        <v>3</v>
      </c>
      <c r="O53" t="s">
        <v>32</v>
      </c>
      <c r="P53" t="s">
        <v>27</v>
      </c>
      <c r="Q53" t="s">
        <v>65</v>
      </c>
      <c r="R53">
        <v>1</v>
      </c>
      <c r="S53" t="s">
        <v>66</v>
      </c>
      <c r="T53">
        <v>5</v>
      </c>
      <c r="U53" t="s">
        <v>52</v>
      </c>
      <c r="V53" t="s">
        <v>65</v>
      </c>
      <c r="W53">
        <v>7</v>
      </c>
      <c r="X53" t="s">
        <v>66</v>
      </c>
      <c r="Y53">
        <v>0</v>
      </c>
    </row>
    <row r="54" spans="1:25" x14ac:dyDescent="0.25">
      <c r="A54" t="s">
        <v>200</v>
      </c>
      <c r="B54">
        <v>4</v>
      </c>
      <c r="C54">
        <v>1</v>
      </c>
      <c r="D54">
        <v>5</v>
      </c>
      <c r="E54" t="s">
        <v>42</v>
      </c>
      <c r="F54" t="s">
        <v>26</v>
      </c>
      <c r="G54">
        <v>4</v>
      </c>
      <c r="H54">
        <f>stimuli_table[[#This Row],[n_colour1_right]]+stimuli_table[[#This Row],[n_colour2_right]]</f>
        <v>7</v>
      </c>
      <c r="I54" t="s">
        <v>52</v>
      </c>
      <c r="J54" t="s">
        <v>63</v>
      </c>
      <c r="K54" t="s">
        <v>29</v>
      </c>
      <c r="L54" t="s">
        <v>67</v>
      </c>
      <c r="M54" t="s">
        <v>31</v>
      </c>
      <c r="N54" s="1">
        <v>1</v>
      </c>
      <c r="O54" t="s">
        <v>32</v>
      </c>
      <c r="P54" t="s">
        <v>27</v>
      </c>
      <c r="Q54" t="s">
        <v>65</v>
      </c>
      <c r="R54">
        <v>1</v>
      </c>
      <c r="S54" t="s">
        <v>66</v>
      </c>
      <c r="T54">
        <v>5</v>
      </c>
      <c r="U54" t="s">
        <v>50</v>
      </c>
      <c r="V54" t="s">
        <v>65</v>
      </c>
      <c r="W54">
        <v>3</v>
      </c>
      <c r="X54" t="s">
        <v>66</v>
      </c>
      <c r="Y54">
        <v>4</v>
      </c>
    </row>
    <row r="55" spans="1:25" x14ac:dyDescent="0.25">
      <c r="A55" t="s">
        <v>200</v>
      </c>
      <c r="B55">
        <v>4</v>
      </c>
      <c r="C55">
        <v>2</v>
      </c>
      <c r="D55">
        <v>6</v>
      </c>
      <c r="E55" t="s">
        <v>42</v>
      </c>
      <c r="F55" t="s">
        <v>37</v>
      </c>
      <c r="G55">
        <v>4</v>
      </c>
      <c r="H55">
        <f>stimuli_table[[#This Row],[n_colour1_right]]+stimuli_table[[#This Row],[n_colour2_right]]</f>
        <v>7</v>
      </c>
      <c r="I55" t="s">
        <v>52</v>
      </c>
      <c r="J55" t="s">
        <v>63</v>
      </c>
      <c r="K55" t="s">
        <v>29</v>
      </c>
      <c r="L55" t="s">
        <v>67</v>
      </c>
      <c r="M55" t="s">
        <v>41</v>
      </c>
      <c r="N55" s="1">
        <v>2</v>
      </c>
      <c r="O55" t="s">
        <v>32</v>
      </c>
      <c r="P55" t="s">
        <v>27</v>
      </c>
      <c r="Q55" t="s">
        <v>65</v>
      </c>
      <c r="R55">
        <v>1</v>
      </c>
      <c r="S55" t="s">
        <v>66</v>
      </c>
      <c r="T55">
        <v>5</v>
      </c>
      <c r="U55" t="s">
        <v>52</v>
      </c>
      <c r="V55" t="s">
        <v>65</v>
      </c>
      <c r="W55">
        <v>0</v>
      </c>
      <c r="X55" t="s">
        <v>66</v>
      </c>
      <c r="Y55">
        <v>7</v>
      </c>
    </row>
    <row r="56" spans="1:25" x14ac:dyDescent="0.25">
      <c r="A56" t="s">
        <v>200</v>
      </c>
      <c r="B56">
        <v>4</v>
      </c>
      <c r="C56">
        <v>3</v>
      </c>
      <c r="D56">
        <v>7</v>
      </c>
      <c r="E56" t="s">
        <v>42</v>
      </c>
      <c r="F56" t="s">
        <v>39</v>
      </c>
      <c r="G56">
        <v>4</v>
      </c>
      <c r="H56">
        <f>stimuli_table[[#This Row],[n_colour1_right]]+stimuli_table[[#This Row],[n_colour2_right]]</f>
        <v>7</v>
      </c>
      <c r="I56" t="s">
        <v>52</v>
      </c>
      <c r="J56" t="s">
        <v>63</v>
      </c>
      <c r="K56" t="s">
        <v>29</v>
      </c>
      <c r="L56" t="s">
        <v>67</v>
      </c>
      <c r="M56" t="s">
        <v>41</v>
      </c>
      <c r="N56" s="1">
        <v>3</v>
      </c>
      <c r="O56" t="s">
        <v>32</v>
      </c>
      <c r="P56" t="s">
        <v>27</v>
      </c>
      <c r="Q56" t="s">
        <v>65</v>
      </c>
      <c r="R56">
        <v>1</v>
      </c>
      <c r="S56" t="s">
        <v>66</v>
      </c>
      <c r="T56">
        <v>5</v>
      </c>
      <c r="U56" t="s">
        <v>52</v>
      </c>
      <c r="V56" t="s">
        <v>65</v>
      </c>
      <c r="W56">
        <v>2</v>
      </c>
      <c r="X56" t="s">
        <v>66</v>
      </c>
      <c r="Y56">
        <v>5</v>
      </c>
    </row>
    <row r="57" spans="1:25" x14ac:dyDescent="0.25">
      <c r="A57" t="s">
        <v>200</v>
      </c>
      <c r="B57">
        <v>4</v>
      </c>
      <c r="C57">
        <v>4</v>
      </c>
      <c r="D57">
        <v>8</v>
      </c>
      <c r="E57" t="s">
        <v>42</v>
      </c>
      <c r="F57" t="s">
        <v>40</v>
      </c>
      <c r="G57">
        <v>4</v>
      </c>
      <c r="H57">
        <f>stimuli_table[[#This Row],[n_colour1_right]]+stimuli_table[[#This Row],[n_colour2_right]]</f>
        <v>7</v>
      </c>
      <c r="I57" t="s">
        <v>52</v>
      </c>
      <c r="J57" t="s">
        <v>63</v>
      </c>
      <c r="K57" t="s">
        <v>29</v>
      </c>
      <c r="L57" t="s">
        <v>67</v>
      </c>
      <c r="M57" t="s">
        <v>38</v>
      </c>
      <c r="N57" s="1">
        <v>4</v>
      </c>
      <c r="O57" t="s">
        <v>32</v>
      </c>
      <c r="P57" t="s">
        <v>27</v>
      </c>
      <c r="Q57" t="s">
        <v>65</v>
      </c>
      <c r="R57">
        <v>1</v>
      </c>
      <c r="S57" t="s">
        <v>66</v>
      </c>
      <c r="T57">
        <v>5</v>
      </c>
      <c r="U57" t="s">
        <v>52</v>
      </c>
      <c r="V57" t="s">
        <v>65</v>
      </c>
      <c r="W57">
        <v>7</v>
      </c>
      <c r="X57" t="s">
        <v>66</v>
      </c>
      <c r="Y57">
        <v>0</v>
      </c>
    </row>
    <row r="58" spans="1:25" x14ac:dyDescent="0.25">
      <c r="A58" t="s">
        <v>200</v>
      </c>
      <c r="B58">
        <v>4</v>
      </c>
      <c r="C58">
        <v>1</v>
      </c>
      <c r="D58">
        <v>9</v>
      </c>
      <c r="E58" t="s">
        <v>44</v>
      </c>
      <c r="F58" t="s">
        <v>26</v>
      </c>
      <c r="G58">
        <v>4</v>
      </c>
      <c r="H58">
        <f>stimuli_table[[#This Row],[n_colour1_right]]+stimuli_table[[#This Row],[n_colour2_right]]</f>
        <v>7</v>
      </c>
      <c r="I58" t="s">
        <v>52</v>
      </c>
      <c r="J58" t="s">
        <v>63</v>
      </c>
      <c r="K58" t="s">
        <v>29</v>
      </c>
      <c r="L58" t="s">
        <v>68</v>
      </c>
      <c r="M58" t="s">
        <v>31</v>
      </c>
      <c r="N58" s="2">
        <v>2</v>
      </c>
      <c r="O58" t="s">
        <v>32</v>
      </c>
      <c r="P58" t="s">
        <v>27</v>
      </c>
      <c r="Q58" t="s">
        <v>65</v>
      </c>
      <c r="R58">
        <v>1</v>
      </c>
      <c r="S58" t="s">
        <v>66</v>
      </c>
      <c r="T58">
        <v>5</v>
      </c>
      <c r="U58" t="s">
        <v>50</v>
      </c>
      <c r="V58" t="s">
        <v>65</v>
      </c>
      <c r="W58">
        <v>3</v>
      </c>
      <c r="X58" t="s">
        <v>66</v>
      </c>
      <c r="Y58">
        <v>4</v>
      </c>
    </row>
    <row r="59" spans="1:25" x14ac:dyDescent="0.25">
      <c r="A59" t="s">
        <v>200</v>
      </c>
      <c r="B59">
        <v>4</v>
      </c>
      <c r="C59">
        <v>2</v>
      </c>
      <c r="D59">
        <v>10</v>
      </c>
      <c r="E59" t="s">
        <v>44</v>
      </c>
      <c r="F59" t="s">
        <v>37</v>
      </c>
      <c r="G59">
        <v>4</v>
      </c>
      <c r="H59">
        <f>stimuli_table[[#This Row],[n_colour1_right]]+stimuli_table[[#This Row],[n_colour2_right]]</f>
        <v>7</v>
      </c>
      <c r="I59" t="s">
        <v>52</v>
      </c>
      <c r="J59" t="s">
        <v>63</v>
      </c>
      <c r="K59" t="s">
        <v>29</v>
      </c>
      <c r="L59" t="s">
        <v>68</v>
      </c>
      <c r="M59" t="s">
        <v>41</v>
      </c>
      <c r="N59" s="2">
        <v>3</v>
      </c>
      <c r="O59" t="s">
        <v>32</v>
      </c>
      <c r="P59" t="s">
        <v>27</v>
      </c>
      <c r="Q59" t="s">
        <v>65</v>
      </c>
      <c r="R59">
        <v>1</v>
      </c>
      <c r="S59" t="s">
        <v>66</v>
      </c>
      <c r="T59">
        <v>5</v>
      </c>
      <c r="U59" t="s">
        <v>52</v>
      </c>
      <c r="V59" t="s">
        <v>65</v>
      </c>
      <c r="W59">
        <v>0</v>
      </c>
      <c r="X59" t="s">
        <v>66</v>
      </c>
      <c r="Y59">
        <v>7</v>
      </c>
    </row>
    <row r="60" spans="1:25" x14ac:dyDescent="0.25">
      <c r="A60" t="s">
        <v>200</v>
      </c>
      <c r="B60">
        <v>4</v>
      </c>
      <c r="C60">
        <v>3</v>
      </c>
      <c r="D60">
        <v>11</v>
      </c>
      <c r="E60" t="s">
        <v>44</v>
      </c>
      <c r="F60" t="s">
        <v>39</v>
      </c>
      <c r="G60">
        <v>4</v>
      </c>
      <c r="H60">
        <f>stimuli_table[[#This Row],[n_colour1_right]]+stimuli_table[[#This Row],[n_colour2_right]]</f>
        <v>7</v>
      </c>
      <c r="I60" t="s">
        <v>52</v>
      </c>
      <c r="J60" t="s">
        <v>63</v>
      </c>
      <c r="K60" t="s">
        <v>29</v>
      </c>
      <c r="L60" t="s">
        <v>68</v>
      </c>
      <c r="M60" t="s">
        <v>41</v>
      </c>
      <c r="N60" s="2">
        <v>4</v>
      </c>
      <c r="O60" t="s">
        <v>32</v>
      </c>
      <c r="P60" t="s">
        <v>27</v>
      </c>
      <c r="Q60" t="s">
        <v>65</v>
      </c>
      <c r="R60">
        <v>1</v>
      </c>
      <c r="S60" t="s">
        <v>66</v>
      </c>
      <c r="T60">
        <v>5</v>
      </c>
      <c r="U60" t="s">
        <v>52</v>
      </c>
      <c r="V60" t="s">
        <v>65</v>
      </c>
      <c r="W60">
        <v>2</v>
      </c>
      <c r="X60" t="s">
        <v>66</v>
      </c>
      <c r="Y60">
        <v>5</v>
      </c>
    </row>
    <row r="61" spans="1:25" x14ac:dyDescent="0.25">
      <c r="A61" t="s">
        <v>200</v>
      </c>
      <c r="B61">
        <v>4</v>
      </c>
      <c r="C61">
        <v>4</v>
      </c>
      <c r="D61">
        <v>12</v>
      </c>
      <c r="E61" t="s">
        <v>44</v>
      </c>
      <c r="F61" t="s">
        <v>40</v>
      </c>
      <c r="G61">
        <v>4</v>
      </c>
      <c r="H61">
        <f>stimuli_table[[#This Row],[n_colour1_right]]+stimuli_table[[#This Row],[n_colour2_right]]</f>
        <v>7</v>
      </c>
      <c r="I61" t="s">
        <v>52</v>
      </c>
      <c r="J61" t="s">
        <v>63</v>
      </c>
      <c r="K61" t="s">
        <v>29</v>
      </c>
      <c r="L61" t="s">
        <v>68</v>
      </c>
      <c r="M61" t="s">
        <v>38</v>
      </c>
      <c r="N61" s="2">
        <v>1</v>
      </c>
      <c r="O61" t="s">
        <v>32</v>
      </c>
      <c r="P61" t="s">
        <v>27</v>
      </c>
      <c r="Q61" t="s">
        <v>65</v>
      </c>
      <c r="R61">
        <v>1</v>
      </c>
      <c r="S61" t="s">
        <v>66</v>
      </c>
      <c r="T61">
        <v>5</v>
      </c>
      <c r="U61" t="s">
        <v>52</v>
      </c>
      <c r="V61" t="s">
        <v>65</v>
      </c>
      <c r="W61">
        <v>7</v>
      </c>
      <c r="X61" t="s">
        <v>66</v>
      </c>
      <c r="Y61">
        <v>0</v>
      </c>
    </row>
    <row r="62" spans="1:25" x14ac:dyDescent="0.25">
      <c r="A62" t="s">
        <v>200</v>
      </c>
      <c r="B62">
        <v>4</v>
      </c>
      <c r="C62">
        <v>1</v>
      </c>
      <c r="D62">
        <v>13</v>
      </c>
      <c r="E62" t="s">
        <v>46</v>
      </c>
      <c r="F62" t="s">
        <v>26</v>
      </c>
      <c r="G62">
        <v>4</v>
      </c>
      <c r="H62">
        <f>stimuli_table[[#This Row],[n_colour1_right]]+stimuli_table[[#This Row],[n_colour2_right]]</f>
        <v>7</v>
      </c>
      <c r="I62" t="s">
        <v>52</v>
      </c>
      <c r="J62" t="s">
        <v>63</v>
      </c>
      <c r="K62" t="s">
        <v>29</v>
      </c>
      <c r="L62" t="s">
        <v>69</v>
      </c>
      <c r="M62" t="s">
        <v>31</v>
      </c>
      <c r="N62" s="3">
        <v>3</v>
      </c>
      <c r="O62" t="s">
        <v>32</v>
      </c>
      <c r="P62" t="s">
        <v>27</v>
      </c>
      <c r="Q62" t="s">
        <v>65</v>
      </c>
      <c r="R62">
        <v>1</v>
      </c>
      <c r="S62" t="s">
        <v>66</v>
      </c>
      <c r="T62">
        <v>5</v>
      </c>
      <c r="U62" t="s">
        <v>50</v>
      </c>
      <c r="V62" t="s">
        <v>65</v>
      </c>
      <c r="W62">
        <v>3</v>
      </c>
      <c r="X62" t="s">
        <v>66</v>
      </c>
      <c r="Y62">
        <v>4</v>
      </c>
    </row>
    <row r="63" spans="1:25" x14ac:dyDescent="0.25">
      <c r="A63" t="s">
        <v>200</v>
      </c>
      <c r="B63">
        <v>4</v>
      </c>
      <c r="C63">
        <v>2</v>
      </c>
      <c r="D63">
        <v>14</v>
      </c>
      <c r="E63" t="s">
        <v>46</v>
      </c>
      <c r="F63" t="s">
        <v>37</v>
      </c>
      <c r="G63">
        <v>4</v>
      </c>
      <c r="H63">
        <f>stimuli_table[[#This Row],[n_colour1_right]]+stimuli_table[[#This Row],[n_colour2_right]]</f>
        <v>7</v>
      </c>
      <c r="I63" t="s">
        <v>52</v>
      </c>
      <c r="J63" t="s">
        <v>63</v>
      </c>
      <c r="K63" t="s">
        <v>29</v>
      </c>
      <c r="L63" t="s">
        <v>69</v>
      </c>
      <c r="M63" t="s">
        <v>38</v>
      </c>
      <c r="N63" s="3">
        <v>4</v>
      </c>
      <c r="O63" t="s">
        <v>32</v>
      </c>
      <c r="P63" t="s">
        <v>27</v>
      </c>
      <c r="Q63" t="s">
        <v>65</v>
      </c>
      <c r="R63">
        <v>1</v>
      </c>
      <c r="S63" t="s">
        <v>66</v>
      </c>
      <c r="T63">
        <v>5</v>
      </c>
      <c r="U63" t="s">
        <v>52</v>
      </c>
      <c r="V63" t="s">
        <v>65</v>
      </c>
      <c r="W63">
        <v>0</v>
      </c>
      <c r="X63" t="s">
        <v>66</v>
      </c>
      <c r="Y63">
        <v>7</v>
      </c>
    </row>
    <row r="64" spans="1:25" x14ac:dyDescent="0.25">
      <c r="A64" t="s">
        <v>200</v>
      </c>
      <c r="B64">
        <v>4</v>
      </c>
      <c r="C64">
        <v>3</v>
      </c>
      <c r="D64">
        <v>15</v>
      </c>
      <c r="E64" t="s">
        <v>46</v>
      </c>
      <c r="F64" t="s">
        <v>39</v>
      </c>
      <c r="G64">
        <v>4</v>
      </c>
      <c r="H64">
        <f>stimuli_table[[#This Row],[n_colour1_right]]+stimuli_table[[#This Row],[n_colour2_right]]</f>
        <v>7</v>
      </c>
      <c r="I64" t="s">
        <v>52</v>
      </c>
      <c r="J64" t="s">
        <v>63</v>
      </c>
      <c r="K64" t="s">
        <v>29</v>
      </c>
      <c r="L64" t="s">
        <v>69</v>
      </c>
      <c r="M64" t="s">
        <v>41</v>
      </c>
      <c r="N64" s="3">
        <v>1</v>
      </c>
      <c r="O64" t="s">
        <v>32</v>
      </c>
      <c r="P64" t="s">
        <v>27</v>
      </c>
      <c r="Q64" t="s">
        <v>65</v>
      </c>
      <c r="R64">
        <v>1</v>
      </c>
      <c r="S64" t="s">
        <v>66</v>
      </c>
      <c r="T64">
        <v>5</v>
      </c>
      <c r="U64" t="s">
        <v>52</v>
      </c>
      <c r="V64" t="s">
        <v>65</v>
      </c>
      <c r="W64">
        <v>2</v>
      </c>
      <c r="X64" t="s">
        <v>66</v>
      </c>
      <c r="Y64">
        <v>5</v>
      </c>
    </row>
    <row r="65" spans="1:25" x14ac:dyDescent="0.25">
      <c r="A65" t="s">
        <v>200</v>
      </c>
      <c r="B65">
        <v>4</v>
      </c>
      <c r="C65">
        <v>4</v>
      </c>
      <c r="D65">
        <v>16</v>
      </c>
      <c r="E65" t="s">
        <v>46</v>
      </c>
      <c r="F65" t="s">
        <v>40</v>
      </c>
      <c r="G65">
        <v>4</v>
      </c>
      <c r="H65">
        <f>stimuli_table[[#This Row],[n_colour1_right]]+stimuli_table[[#This Row],[n_colour2_right]]</f>
        <v>7</v>
      </c>
      <c r="I65" t="s">
        <v>52</v>
      </c>
      <c r="J65" t="s">
        <v>63</v>
      </c>
      <c r="K65" t="s">
        <v>29</v>
      </c>
      <c r="L65" t="s">
        <v>69</v>
      </c>
      <c r="M65" t="s">
        <v>41</v>
      </c>
      <c r="N65" s="3">
        <v>2</v>
      </c>
      <c r="O65" t="s">
        <v>32</v>
      </c>
      <c r="P65" t="s">
        <v>27</v>
      </c>
      <c r="Q65" t="s">
        <v>65</v>
      </c>
      <c r="R65">
        <v>1</v>
      </c>
      <c r="S65" t="s">
        <v>66</v>
      </c>
      <c r="T65">
        <v>5</v>
      </c>
      <c r="U65" t="s">
        <v>52</v>
      </c>
      <c r="V65" t="s">
        <v>65</v>
      </c>
      <c r="W65">
        <v>7</v>
      </c>
      <c r="X65" t="s">
        <v>66</v>
      </c>
      <c r="Y65">
        <v>0</v>
      </c>
    </row>
    <row r="66" spans="1:25" x14ac:dyDescent="0.25">
      <c r="A66" t="s">
        <v>200</v>
      </c>
      <c r="B66">
        <v>5</v>
      </c>
      <c r="C66">
        <v>1</v>
      </c>
      <c r="D66">
        <v>1</v>
      </c>
      <c r="E66" t="s">
        <v>25</v>
      </c>
      <c r="F66" t="s">
        <v>26</v>
      </c>
      <c r="G66">
        <v>3</v>
      </c>
      <c r="H66">
        <f>stimuli_table[[#This Row],[n_colour1_right]]+stimuli_table[[#This Row],[n_colour2_right]]</f>
        <v>6</v>
      </c>
      <c r="I66" t="s">
        <v>36</v>
      </c>
      <c r="J66" t="s">
        <v>70</v>
      </c>
      <c r="K66" t="s">
        <v>29</v>
      </c>
      <c r="L66" t="s">
        <v>71</v>
      </c>
      <c r="M66" t="s">
        <v>31</v>
      </c>
      <c r="N66" s="1">
        <v>1</v>
      </c>
      <c r="O66" t="s">
        <v>32</v>
      </c>
      <c r="P66" t="s">
        <v>52</v>
      </c>
      <c r="Q66" t="s">
        <v>72</v>
      </c>
      <c r="R66">
        <v>5</v>
      </c>
      <c r="S66" t="s">
        <v>35</v>
      </c>
      <c r="T66">
        <v>3</v>
      </c>
      <c r="U66" t="s">
        <v>33</v>
      </c>
      <c r="V66" t="s">
        <v>72</v>
      </c>
      <c r="W66">
        <v>3</v>
      </c>
      <c r="X66" t="s">
        <v>35</v>
      </c>
      <c r="Y66">
        <v>3</v>
      </c>
    </row>
    <row r="67" spans="1:25" x14ac:dyDescent="0.25">
      <c r="A67" t="s">
        <v>200</v>
      </c>
      <c r="B67">
        <v>5</v>
      </c>
      <c r="C67">
        <v>2</v>
      </c>
      <c r="D67">
        <v>2</v>
      </c>
      <c r="E67" t="s">
        <v>25</v>
      </c>
      <c r="F67" t="s">
        <v>37</v>
      </c>
      <c r="G67">
        <v>3</v>
      </c>
      <c r="H67">
        <f>stimuli_table[[#This Row],[n_colour1_right]]+stimuli_table[[#This Row],[n_colour2_right]]</f>
        <v>6</v>
      </c>
      <c r="I67" t="s">
        <v>36</v>
      </c>
      <c r="J67" t="s">
        <v>70</v>
      </c>
      <c r="K67" t="s">
        <v>29</v>
      </c>
      <c r="L67" t="s">
        <v>71</v>
      </c>
      <c r="M67" t="s">
        <v>38</v>
      </c>
      <c r="N67" s="1">
        <v>2</v>
      </c>
      <c r="O67" t="s">
        <v>32</v>
      </c>
      <c r="P67" t="s">
        <v>52</v>
      </c>
      <c r="Q67" t="s">
        <v>72</v>
      </c>
      <c r="R67">
        <v>5</v>
      </c>
      <c r="S67" t="s">
        <v>35</v>
      </c>
      <c r="T67">
        <v>3</v>
      </c>
      <c r="U67" t="s">
        <v>36</v>
      </c>
      <c r="V67" t="s">
        <v>72</v>
      </c>
      <c r="W67">
        <v>0</v>
      </c>
      <c r="X67" t="s">
        <v>35</v>
      </c>
      <c r="Y67">
        <v>6</v>
      </c>
    </row>
    <row r="68" spans="1:25" x14ac:dyDescent="0.25">
      <c r="A68" t="s">
        <v>200</v>
      </c>
      <c r="B68">
        <v>5</v>
      </c>
      <c r="C68">
        <v>3</v>
      </c>
      <c r="D68">
        <v>3</v>
      </c>
      <c r="E68" t="s">
        <v>25</v>
      </c>
      <c r="F68" t="s">
        <v>39</v>
      </c>
      <c r="G68">
        <v>3</v>
      </c>
      <c r="H68">
        <f>stimuli_table[[#This Row],[n_colour1_right]]+stimuli_table[[#This Row],[n_colour2_right]]</f>
        <v>6</v>
      </c>
      <c r="I68" t="s">
        <v>36</v>
      </c>
      <c r="J68" t="s">
        <v>70</v>
      </c>
      <c r="K68" t="s">
        <v>29</v>
      </c>
      <c r="L68" t="s">
        <v>71</v>
      </c>
      <c r="M68" t="s">
        <v>38</v>
      </c>
      <c r="N68" s="1">
        <v>3</v>
      </c>
      <c r="O68" t="s">
        <v>32</v>
      </c>
      <c r="P68" t="s">
        <v>52</v>
      </c>
      <c r="Q68" t="s">
        <v>72</v>
      </c>
      <c r="R68">
        <v>5</v>
      </c>
      <c r="S68" t="s">
        <v>35</v>
      </c>
      <c r="T68">
        <v>3</v>
      </c>
      <c r="U68" t="s">
        <v>36</v>
      </c>
      <c r="V68" t="s">
        <v>72</v>
      </c>
      <c r="W68">
        <v>1</v>
      </c>
      <c r="X68" t="s">
        <v>35</v>
      </c>
      <c r="Y68">
        <v>5</v>
      </c>
    </row>
    <row r="69" spans="1:25" x14ac:dyDescent="0.25">
      <c r="A69" t="s">
        <v>200</v>
      </c>
      <c r="B69">
        <v>5</v>
      </c>
      <c r="C69">
        <v>4</v>
      </c>
      <c r="D69">
        <v>4</v>
      </c>
      <c r="E69" t="s">
        <v>25</v>
      </c>
      <c r="F69" t="s">
        <v>40</v>
      </c>
      <c r="G69">
        <v>3</v>
      </c>
      <c r="H69">
        <f>stimuli_table[[#This Row],[n_colour1_right]]+stimuli_table[[#This Row],[n_colour2_right]]</f>
        <v>6</v>
      </c>
      <c r="I69" t="s">
        <v>36</v>
      </c>
      <c r="J69" t="s">
        <v>70</v>
      </c>
      <c r="K69" t="s">
        <v>29</v>
      </c>
      <c r="L69" t="s">
        <v>71</v>
      </c>
      <c r="M69" t="s">
        <v>41</v>
      </c>
      <c r="N69" s="1">
        <v>4</v>
      </c>
      <c r="O69" t="s">
        <v>32</v>
      </c>
      <c r="P69" t="s">
        <v>52</v>
      </c>
      <c r="Q69" t="s">
        <v>72</v>
      </c>
      <c r="R69">
        <v>5</v>
      </c>
      <c r="S69" t="s">
        <v>35</v>
      </c>
      <c r="T69">
        <v>3</v>
      </c>
      <c r="U69" t="s">
        <v>36</v>
      </c>
      <c r="V69" t="s">
        <v>72</v>
      </c>
      <c r="W69">
        <v>6</v>
      </c>
      <c r="X69" t="s">
        <v>35</v>
      </c>
      <c r="Y69">
        <v>0</v>
      </c>
    </row>
    <row r="70" spans="1:25" x14ac:dyDescent="0.25">
      <c r="A70" t="s">
        <v>200</v>
      </c>
      <c r="B70">
        <v>5</v>
      </c>
      <c r="C70">
        <v>1</v>
      </c>
      <c r="D70">
        <v>5</v>
      </c>
      <c r="E70" t="s">
        <v>42</v>
      </c>
      <c r="F70" t="s">
        <v>26</v>
      </c>
      <c r="G70">
        <v>3</v>
      </c>
      <c r="H70">
        <f>stimuli_table[[#This Row],[n_colour1_right]]+stimuli_table[[#This Row],[n_colour2_right]]</f>
        <v>6</v>
      </c>
      <c r="I70" t="s">
        <v>36</v>
      </c>
      <c r="J70" t="s">
        <v>70</v>
      </c>
      <c r="K70" t="s">
        <v>29</v>
      </c>
      <c r="L70" t="s">
        <v>73</v>
      </c>
      <c r="M70" t="s">
        <v>31</v>
      </c>
      <c r="N70" s="2">
        <v>2</v>
      </c>
      <c r="O70" t="s">
        <v>32</v>
      </c>
      <c r="P70" t="s">
        <v>52</v>
      </c>
      <c r="Q70" t="s">
        <v>72</v>
      </c>
      <c r="R70">
        <v>5</v>
      </c>
      <c r="S70" t="s">
        <v>35</v>
      </c>
      <c r="T70">
        <v>3</v>
      </c>
      <c r="U70" t="s">
        <v>33</v>
      </c>
      <c r="V70" t="s">
        <v>72</v>
      </c>
      <c r="W70">
        <v>3</v>
      </c>
      <c r="X70" t="s">
        <v>35</v>
      </c>
      <c r="Y70">
        <v>3</v>
      </c>
    </row>
    <row r="71" spans="1:25" x14ac:dyDescent="0.25">
      <c r="A71" t="s">
        <v>200</v>
      </c>
      <c r="B71">
        <v>5</v>
      </c>
      <c r="C71">
        <v>2</v>
      </c>
      <c r="D71">
        <v>6</v>
      </c>
      <c r="E71" t="s">
        <v>42</v>
      </c>
      <c r="F71" t="s">
        <v>37</v>
      </c>
      <c r="G71">
        <v>3</v>
      </c>
      <c r="H71">
        <f>stimuli_table[[#This Row],[n_colour1_right]]+stimuli_table[[#This Row],[n_colour2_right]]</f>
        <v>6</v>
      </c>
      <c r="I71" t="s">
        <v>36</v>
      </c>
      <c r="J71" t="s">
        <v>70</v>
      </c>
      <c r="K71" t="s">
        <v>29</v>
      </c>
      <c r="L71" t="s">
        <v>73</v>
      </c>
      <c r="M71" t="s">
        <v>41</v>
      </c>
      <c r="N71" s="2">
        <v>3</v>
      </c>
      <c r="O71" t="s">
        <v>32</v>
      </c>
      <c r="P71" t="s">
        <v>52</v>
      </c>
      <c r="Q71" t="s">
        <v>72</v>
      </c>
      <c r="R71">
        <v>5</v>
      </c>
      <c r="S71" t="s">
        <v>35</v>
      </c>
      <c r="T71">
        <v>3</v>
      </c>
      <c r="U71" t="s">
        <v>36</v>
      </c>
      <c r="V71" t="s">
        <v>72</v>
      </c>
      <c r="W71">
        <v>0</v>
      </c>
      <c r="X71" t="s">
        <v>35</v>
      </c>
      <c r="Y71">
        <v>6</v>
      </c>
    </row>
    <row r="72" spans="1:25" x14ac:dyDescent="0.25">
      <c r="A72" t="s">
        <v>200</v>
      </c>
      <c r="B72">
        <v>5</v>
      </c>
      <c r="C72">
        <v>3</v>
      </c>
      <c r="D72">
        <v>7</v>
      </c>
      <c r="E72" t="s">
        <v>42</v>
      </c>
      <c r="F72" t="s">
        <v>39</v>
      </c>
      <c r="G72">
        <v>3</v>
      </c>
      <c r="H72">
        <f>stimuli_table[[#This Row],[n_colour1_right]]+stimuli_table[[#This Row],[n_colour2_right]]</f>
        <v>6</v>
      </c>
      <c r="I72" t="s">
        <v>36</v>
      </c>
      <c r="J72" t="s">
        <v>70</v>
      </c>
      <c r="K72" t="s">
        <v>29</v>
      </c>
      <c r="L72" t="s">
        <v>73</v>
      </c>
      <c r="M72" t="s">
        <v>41</v>
      </c>
      <c r="N72" s="2">
        <v>4</v>
      </c>
      <c r="O72" t="s">
        <v>32</v>
      </c>
      <c r="P72" t="s">
        <v>52</v>
      </c>
      <c r="Q72" t="s">
        <v>72</v>
      </c>
      <c r="R72">
        <v>5</v>
      </c>
      <c r="S72" t="s">
        <v>35</v>
      </c>
      <c r="T72">
        <v>3</v>
      </c>
      <c r="U72" t="s">
        <v>36</v>
      </c>
      <c r="V72" t="s">
        <v>72</v>
      </c>
      <c r="W72">
        <v>1</v>
      </c>
      <c r="X72" t="s">
        <v>35</v>
      </c>
      <c r="Y72">
        <v>5</v>
      </c>
    </row>
    <row r="73" spans="1:25" x14ac:dyDescent="0.25">
      <c r="A73" t="s">
        <v>200</v>
      </c>
      <c r="B73">
        <v>5</v>
      </c>
      <c r="C73">
        <v>4</v>
      </c>
      <c r="D73">
        <v>8</v>
      </c>
      <c r="E73" t="s">
        <v>42</v>
      </c>
      <c r="F73" t="s">
        <v>40</v>
      </c>
      <c r="G73">
        <v>3</v>
      </c>
      <c r="H73">
        <f>stimuli_table[[#This Row],[n_colour1_right]]+stimuli_table[[#This Row],[n_colour2_right]]</f>
        <v>6</v>
      </c>
      <c r="I73" t="s">
        <v>36</v>
      </c>
      <c r="J73" t="s">
        <v>70</v>
      </c>
      <c r="K73" t="s">
        <v>29</v>
      </c>
      <c r="L73" t="s">
        <v>73</v>
      </c>
      <c r="M73" t="s">
        <v>38</v>
      </c>
      <c r="N73" s="2">
        <v>1</v>
      </c>
      <c r="O73" t="s">
        <v>32</v>
      </c>
      <c r="P73" t="s">
        <v>52</v>
      </c>
      <c r="Q73" t="s">
        <v>72</v>
      </c>
      <c r="R73">
        <v>5</v>
      </c>
      <c r="S73" t="s">
        <v>35</v>
      </c>
      <c r="T73">
        <v>3</v>
      </c>
      <c r="U73" t="s">
        <v>36</v>
      </c>
      <c r="V73" t="s">
        <v>72</v>
      </c>
      <c r="W73">
        <v>6</v>
      </c>
      <c r="X73" t="s">
        <v>35</v>
      </c>
      <c r="Y73">
        <v>0</v>
      </c>
    </row>
    <row r="74" spans="1:25" x14ac:dyDescent="0.25">
      <c r="A74" t="s">
        <v>200</v>
      </c>
      <c r="B74">
        <v>5</v>
      </c>
      <c r="C74">
        <v>1</v>
      </c>
      <c r="D74">
        <v>9</v>
      </c>
      <c r="E74" t="s">
        <v>44</v>
      </c>
      <c r="F74" t="s">
        <v>26</v>
      </c>
      <c r="G74">
        <v>3</v>
      </c>
      <c r="H74">
        <f>stimuli_table[[#This Row],[n_colour1_right]]+stimuli_table[[#This Row],[n_colour2_right]]</f>
        <v>6</v>
      </c>
      <c r="I74" t="s">
        <v>36</v>
      </c>
      <c r="J74" t="s">
        <v>70</v>
      </c>
      <c r="K74" t="s">
        <v>29</v>
      </c>
      <c r="L74" t="s">
        <v>74</v>
      </c>
      <c r="M74" t="s">
        <v>31</v>
      </c>
      <c r="N74" s="3">
        <v>3</v>
      </c>
      <c r="O74" t="s">
        <v>32</v>
      </c>
      <c r="P74" t="s">
        <v>52</v>
      </c>
      <c r="Q74" t="s">
        <v>72</v>
      </c>
      <c r="R74">
        <v>5</v>
      </c>
      <c r="S74" t="s">
        <v>35</v>
      </c>
      <c r="T74">
        <v>3</v>
      </c>
      <c r="U74" t="s">
        <v>33</v>
      </c>
      <c r="V74" t="s">
        <v>72</v>
      </c>
      <c r="W74">
        <v>3</v>
      </c>
      <c r="X74" t="s">
        <v>35</v>
      </c>
      <c r="Y74">
        <v>3</v>
      </c>
    </row>
    <row r="75" spans="1:25" x14ac:dyDescent="0.25">
      <c r="A75" t="s">
        <v>200</v>
      </c>
      <c r="B75">
        <v>5</v>
      </c>
      <c r="C75">
        <v>2</v>
      </c>
      <c r="D75">
        <v>10</v>
      </c>
      <c r="E75" t="s">
        <v>44</v>
      </c>
      <c r="F75" t="s">
        <v>37</v>
      </c>
      <c r="G75">
        <v>3</v>
      </c>
      <c r="H75">
        <f>stimuli_table[[#This Row],[n_colour1_right]]+stimuli_table[[#This Row],[n_colour2_right]]</f>
        <v>6</v>
      </c>
      <c r="I75" t="s">
        <v>36</v>
      </c>
      <c r="J75" t="s">
        <v>70</v>
      </c>
      <c r="K75" t="s">
        <v>29</v>
      </c>
      <c r="L75" t="s">
        <v>74</v>
      </c>
      <c r="M75" t="s">
        <v>41</v>
      </c>
      <c r="N75" s="3">
        <v>4</v>
      </c>
      <c r="O75" t="s">
        <v>32</v>
      </c>
      <c r="P75" t="s">
        <v>52</v>
      </c>
      <c r="Q75" t="s">
        <v>72</v>
      </c>
      <c r="R75">
        <v>5</v>
      </c>
      <c r="S75" t="s">
        <v>35</v>
      </c>
      <c r="T75">
        <v>3</v>
      </c>
      <c r="U75" t="s">
        <v>36</v>
      </c>
      <c r="V75" t="s">
        <v>72</v>
      </c>
      <c r="W75">
        <v>0</v>
      </c>
      <c r="X75" t="s">
        <v>35</v>
      </c>
      <c r="Y75">
        <v>6</v>
      </c>
    </row>
    <row r="76" spans="1:25" x14ac:dyDescent="0.25">
      <c r="A76" t="s">
        <v>200</v>
      </c>
      <c r="B76">
        <v>5</v>
      </c>
      <c r="C76">
        <v>3</v>
      </c>
      <c r="D76">
        <v>11</v>
      </c>
      <c r="E76" t="s">
        <v>44</v>
      </c>
      <c r="F76" t="s">
        <v>39</v>
      </c>
      <c r="G76">
        <v>3</v>
      </c>
      <c r="H76">
        <f>stimuli_table[[#This Row],[n_colour1_right]]+stimuli_table[[#This Row],[n_colour2_right]]</f>
        <v>6</v>
      </c>
      <c r="I76" t="s">
        <v>36</v>
      </c>
      <c r="J76" t="s">
        <v>70</v>
      </c>
      <c r="K76" t="s">
        <v>29</v>
      </c>
      <c r="L76" t="s">
        <v>74</v>
      </c>
      <c r="M76" t="s">
        <v>41</v>
      </c>
      <c r="N76" s="3">
        <v>1</v>
      </c>
      <c r="O76" t="s">
        <v>32</v>
      </c>
      <c r="P76" t="s">
        <v>52</v>
      </c>
      <c r="Q76" t="s">
        <v>72</v>
      </c>
      <c r="R76">
        <v>5</v>
      </c>
      <c r="S76" t="s">
        <v>35</v>
      </c>
      <c r="T76">
        <v>3</v>
      </c>
      <c r="U76" t="s">
        <v>36</v>
      </c>
      <c r="V76" t="s">
        <v>72</v>
      </c>
      <c r="W76">
        <v>1</v>
      </c>
      <c r="X76" t="s">
        <v>35</v>
      </c>
      <c r="Y76">
        <v>5</v>
      </c>
    </row>
    <row r="77" spans="1:25" x14ac:dyDescent="0.25">
      <c r="A77" t="s">
        <v>200</v>
      </c>
      <c r="B77">
        <v>5</v>
      </c>
      <c r="C77">
        <v>4</v>
      </c>
      <c r="D77">
        <v>12</v>
      </c>
      <c r="E77" t="s">
        <v>44</v>
      </c>
      <c r="F77" t="s">
        <v>40</v>
      </c>
      <c r="G77">
        <v>3</v>
      </c>
      <c r="H77">
        <f>stimuli_table[[#This Row],[n_colour1_right]]+stimuli_table[[#This Row],[n_colour2_right]]</f>
        <v>6</v>
      </c>
      <c r="I77" t="s">
        <v>36</v>
      </c>
      <c r="J77" t="s">
        <v>70</v>
      </c>
      <c r="K77" t="s">
        <v>29</v>
      </c>
      <c r="L77" t="s">
        <v>74</v>
      </c>
      <c r="M77" t="s">
        <v>38</v>
      </c>
      <c r="N77" s="3">
        <v>2</v>
      </c>
      <c r="O77" t="s">
        <v>32</v>
      </c>
      <c r="P77" t="s">
        <v>52</v>
      </c>
      <c r="Q77" t="s">
        <v>72</v>
      </c>
      <c r="R77">
        <v>5</v>
      </c>
      <c r="S77" t="s">
        <v>35</v>
      </c>
      <c r="T77">
        <v>3</v>
      </c>
      <c r="U77" t="s">
        <v>36</v>
      </c>
      <c r="V77" t="s">
        <v>72</v>
      </c>
      <c r="W77">
        <v>6</v>
      </c>
      <c r="X77" t="s">
        <v>35</v>
      </c>
      <c r="Y77">
        <v>0</v>
      </c>
    </row>
    <row r="78" spans="1:25" x14ac:dyDescent="0.25">
      <c r="A78" t="s">
        <v>200</v>
      </c>
      <c r="B78">
        <v>5</v>
      </c>
      <c r="C78">
        <v>1</v>
      </c>
      <c r="D78">
        <v>13</v>
      </c>
      <c r="E78" t="s">
        <v>46</v>
      </c>
      <c r="F78" t="s">
        <v>26</v>
      </c>
      <c r="G78">
        <v>3</v>
      </c>
      <c r="H78">
        <f>stimuli_table[[#This Row],[n_colour1_right]]+stimuli_table[[#This Row],[n_colour2_right]]</f>
        <v>6</v>
      </c>
      <c r="I78" t="s">
        <v>36</v>
      </c>
      <c r="J78" t="s">
        <v>70</v>
      </c>
      <c r="K78" t="s">
        <v>29</v>
      </c>
      <c r="L78" t="s">
        <v>75</v>
      </c>
      <c r="M78" t="s">
        <v>31</v>
      </c>
      <c r="N78" s="4">
        <v>4</v>
      </c>
      <c r="O78" t="s">
        <v>32</v>
      </c>
      <c r="P78" t="s">
        <v>52</v>
      </c>
      <c r="Q78" t="s">
        <v>72</v>
      </c>
      <c r="R78">
        <v>5</v>
      </c>
      <c r="S78" t="s">
        <v>35</v>
      </c>
      <c r="T78">
        <v>3</v>
      </c>
      <c r="U78" t="s">
        <v>33</v>
      </c>
      <c r="V78" t="s">
        <v>72</v>
      </c>
      <c r="W78">
        <v>3</v>
      </c>
      <c r="X78" t="s">
        <v>35</v>
      </c>
      <c r="Y78">
        <v>3</v>
      </c>
    </row>
    <row r="79" spans="1:25" x14ac:dyDescent="0.25">
      <c r="A79" t="s">
        <v>200</v>
      </c>
      <c r="B79">
        <v>5</v>
      </c>
      <c r="C79">
        <v>2</v>
      </c>
      <c r="D79">
        <v>14</v>
      </c>
      <c r="E79" t="s">
        <v>46</v>
      </c>
      <c r="F79" t="s">
        <v>37</v>
      </c>
      <c r="G79">
        <v>3</v>
      </c>
      <c r="H79">
        <f>stimuli_table[[#This Row],[n_colour1_right]]+stimuli_table[[#This Row],[n_colour2_right]]</f>
        <v>6</v>
      </c>
      <c r="I79" t="s">
        <v>36</v>
      </c>
      <c r="J79" t="s">
        <v>70</v>
      </c>
      <c r="K79" t="s">
        <v>29</v>
      </c>
      <c r="L79" t="s">
        <v>75</v>
      </c>
      <c r="M79" t="s">
        <v>38</v>
      </c>
      <c r="N79" s="4">
        <v>1</v>
      </c>
      <c r="O79" t="s">
        <v>32</v>
      </c>
      <c r="P79" t="s">
        <v>52</v>
      </c>
      <c r="Q79" t="s">
        <v>72</v>
      </c>
      <c r="R79">
        <v>5</v>
      </c>
      <c r="S79" t="s">
        <v>35</v>
      </c>
      <c r="T79">
        <v>3</v>
      </c>
      <c r="U79" t="s">
        <v>36</v>
      </c>
      <c r="V79" t="s">
        <v>72</v>
      </c>
      <c r="W79">
        <v>0</v>
      </c>
      <c r="X79" t="s">
        <v>35</v>
      </c>
      <c r="Y79">
        <v>6</v>
      </c>
    </row>
    <row r="80" spans="1:25" x14ac:dyDescent="0.25">
      <c r="A80" t="s">
        <v>200</v>
      </c>
      <c r="B80">
        <v>5</v>
      </c>
      <c r="C80">
        <v>3</v>
      </c>
      <c r="D80">
        <v>15</v>
      </c>
      <c r="E80" t="s">
        <v>46</v>
      </c>
      <c r="F80" t="s">
        <v>39</v>
      </c>
      <c r="G80">
        <v>3</v>
      </c>
      <c r="H80">
        <f>stimuli_table[[#This Row],[n_colour1_right]]+stimuli_table[[#This Row],[n_colour2_right]]</f>
        <v>6</v>
      </c>
      <c r="I80" t="s">
        <v>36</v>
      </c>
      <c r="J80" t="s">
        <v>70</v>
      </c>
      <c r="K80" t="s">
        <v>29</v>
      </c>
      <c r="L80" t="s">
        <v>75</v>
      </c>
      <c r="M80" t="s">
        <v>41</v>
      </c>
      <c r="N80" s="4">
        <v>2</v>
      </c>
      <c r="O80" t="s">
        <v>32</v>
      </c>
      <c r="P80" t="s">
        <v>52</v>
      </c>
      <c r="Q80" t="s">
        <v>72</v>
      </c>
      <c r="R80">
        <v>5</v>
      </c>
      <c r="S80" t="s">
        <v>35</v>
      </c>
      <c r="T80">
        <v>3</v>
      </c>
      <c r="U80" t="s">
        <v>36</v>
      </c>
      <c r="V80" t="s">
        <v>72</v>
      </c>
      <c r="W80">
        <v>1</v>
      </c>
      <c r="X80" t="s">
        <v>35</v>
      </c>
      <c r="Y80">
        <v>5</v>
      </c>
    </row>
    <row r="81" spans="1:25" x14ac:dyDescent="0.25">
      <c r="A81" t="s">
        <v>200</v>
      </c>
      <c r="B81">
        <v>5</v>
      </c>
      <c r="C81">
        <v>4</v>
      </c>
      <c r="D81">
        <v>16</v>
      </c>
      <c r="E81" t="s">
        <v>46</v>
      </c>
      <c r="F81" t="s">
        <v>40</v>
      </c>
      <c r="G81">
        <v>3</v>
      </c>
      <c r="H81">
        <f>stimuli_table[[#This Row],[n_colour1_right]]+stimuli_table[[#This Row],[n_colour2_right]]</f>
        <v>6</v>
      </c>
      <c r="I81" t="s">
        <v>36</v>
      </c>
      <c r="J81" t="s">
        <v>70</v>
      </c>
      <c r="K81" t="s">
        <v>29</v>
      </c>
      <c r="L81" t="s">
        <v>75</v>
      </c>
      <c r="M81" t="s">
        <v>41</v>
      </c>
      <c r="N81" s="4">
        <v>3</v>
      </c>
      <c r="O81" t="s">
        <v>32</v>
      </c>
      <c r="P81" t="s">
        <v>52</v>
      </c>
      <c r="Q81" t="s">
        <v>72</v>
      </c>
      <c r="R81">
        <v>5</v>
      </c>
      <c r="S81" t="s">
        <v>35</v>
      </c>
      <c r="T81">
        <v>3</v>
      </c>
      <c r="U81" t="s">
        <v>36</v>
      </c>
      <c r="V81" t="s">
        <v>72</v>
      </c>
      <c r="W81">
        <v>6</v>
      </c>
      <c r="X81" t="s">
        <v>35</v>
      </c>
      <c r="Y81">
        <v>0</v>
      </c>
    </row>
    <row r="82" spans="1:25" x14ac:dyDescent="0.25">
      <c r="A82" t="s">
        <v>200</v>
      </c>
      <c r="B82">
        <v>6</v>
      </c>
      <c r="C82">
        <v>1</v>
      </c>
      <c r="D82">
        <v>1</v>
      </c>
      <c r="E82" t="s">
        <v>25</v>
      </c>
      <c r="F82" t="s">
        <v>26</v>
      </c>
      <c r="G82">
        <v>3</v>
      </c>
      <c r="H82">
        <f>stimuli_table[[#This Row],[n_colour1_right]]+stimuli_table[[#This Row],[n_colour2_right]]</f>
        <v>5</v>
      </c>
      <c r="I82" t="s">
        <v>50</v>
      </c>
      <c r="J82" t="s">
        <v>76</v>
      </c>
      <c r="K82" t="s">
        <v>29</v>
      </c>
      <c r="L82" t="s">
        <v>77</v>
      </c>
      <c r="M82" t="s">
        <v>31</v>
      </c>
      <c r="N82" s="2">
        <v>2</v>
      </c>
      <c r="O82" t="s">
        <v>32</v>
      </c>
      <c r="P82" t="s">
        <v>33</v>
      </c>
      <c r="Q82" t="s">
        <v>78</v>
      </c>
      <c r="R82">
        <v>2</v>
      </c>
      <c r="S82" t="s">
        <v>35</v>
      </c>
      <c r="T82">
        <v>4</v>
      </c>
      <c r="U82" t="s">
        <v>52</v>
      </c>
      <c r="V82" t="s">
        <v>78</v>
      </c>
      <c r="W82">
        <v>3</v>
      </c>
      <c r="X82" t="s">
        <v>35</v>
      </c>
      <c r="Y82">
        <v>2</v>
      </c>
    </row>
    <row r="83" spans="1:25" x14ac:dyDescent="0.25">
      <c r="A83" t="s">
        <v>200</v>
      </c>
      <c r="B83">
        <v>6</v>
      </c>
      <c r="C83">
        <v>2</v>
      </c>
      <c r="D83">
        <v>2</v>
      </c>
      <c r="E83" t="s">
        <v>25</v>
      </c>
      <c r="F83" t="s">
        <v>37</v>
      </c>
      <c r="G83">
        <v>3</v>
      </c>
      <c r="H83">
        <f>stimuli_table[[#This Row],[n_colour1_right]]+stimuli_table[[#This Row],[n_colour2_right]]</f>
        <v>5</v>
      </c>
      <c r="I83" t="s">
        <v>50</v>
      </c>
      <c r="J83" t="s">
        <v>76</v>
      </c>
      <c r="K83" t="s">
        <v>29</v>
      </c>
      <c r="L83" t="s">
        <v>77</v>
      </c>
      <c r="M83" t="s">
        <v>38</v>
      </c>
      <c r="N83" s="2">
        <v>3</v>
      </c>
      <c r="O83" t="s">
        <v>32</v>
      </c>
      <c r="P83" t="s">
        <v>33</v>
      </c>
      <c r="Q83" t="s">
        <v>78</v>
      </c>
      <c r="R83">
        <v>2</v>
      </c>
      <c r="S83" t="s">
        <v>35</v>
      </c>
      <c r="T83">
        <v>4</v>
      </c>
      <c r="U83" t="s">
        <v>50</v>
      </c>
      <c r="V83" t="s">
        <v>78</v>
      </c>
      <c r="W83">
        <v>0</v>
      </c>
      <c r="X83" t="s">
        <v>35</v>
      </c>
      <c r="Y83">
        <v>5</v>
      </c>
    </row>
    <row r="84" spans="1:25" x14ac:dyDescent="0.25">
      <c r="A84" t="s">
        <v>200</v>
      </c>
      <c r="B84">
        <v>6</v>
      </c>
      <c r="C84">
        <v>3</v>
      </c>
      <c r="D84">
        <v>3</v>
      </c>
      <c r="E84" t="s">
        <v>25</v>
      </c>
      <c r="F84" t="s">
        <v>39</v>
      </c>
      <c r="G84">
        <v>3</v>
      </c>
      <c r="H84">
        <f>stimuli_table[[#This Row],[n_colour1_right]]+stimuli_table[[#This Row],[n_colour2_right]]</f>
        <v>5</v>
      </c>
      <c r="I84" t="s">
        <v>50</v>
      </c>
      <c r="J84" t="s">
        <v>76</v>
      </c>
      <c r="K84" t="s">
        <v>29</v>
      </c>
      <c r="L84" t="s">
        <v>77</v>
      </c>
      <c r="M84" t="s">
        <v>38</v>
      </c>
      <c r="N84" s="2">
        <v>4</v>
      </c>
      <c r="O84" t="s">
        <v>32</v>
      </c>
      <c r="P84" t="s">
        <v>33</v>
      </c>
      <c r="Q84" t="s">
        <v>78</v>
      </c>
      <c r="R84">
        <v>2</v>
      </c>
      <c r="S84" t="s">
        <v>35</v>
      </c>
      <c r="T84">
        <v>4</v>
      </c>
      <c r="U84" t="s">
        <v>50</v>
      </c>
      <c r="V84" t="s">
        <v>78</v>
      </c>
      <c r="W84">
        <v>1</v>
      </c>
      <c r="X84" t="s">
        <v>35</v>
      </c>
      <c r="Y84">
        <v>4</v>
      </c>
    </row>
    <row r="85" spans="1:25" x14ac:dyDescent="0.25">
      <c r="A85" t="s">
        <v>200</v>
      </c>
      <c r="B85">
        <v>6</v>
      </c>
      <c r="C85">
        <v>4</v>
      </c>
      <c r="D85">
        <v>4</v>
      </c>
      <c r="E85" t="s">
        <v>25</v>
      </c>
      <c r="F85" t="s">
        <v>40</v>
      </c>
      <c r="G85">
        <v>3</v>
      </c>
      <c r="H85">
        <f>stimuli_table[[#This Row],[n_colour1_right]]+stimuli_table[[#This Row],[n_colour2_right]]</f>
        <v>5</v>
      </c>
      <c r="I85" t="s">
        <v>50</v>
      </c>
      <c r="J85" t="s">
        <v>76</v>
      </c>
      <c r="K85" t="s">
        <v>29</v>
      </c>
      <c r="L85" t="s">
        <v>77</v>
      </c>
      <c r="M85" t="s">
        <v>41</v>
      </c>
      <c r="N85" s="2">
        <v>1</v>
      </c>
      <c r="O85" t="s">
        <v>32</v>
      </c>
      <c r="P85" t="s">
        <v>33</v>
      </c>
      <c r="Q85" t="s">
        <v>78</v>
      </c>
      <c r="R85">
        <v>2</v>
      </c>
      <c r="S85" t="s">
        <v>35</v>
      </c>
      <c r="T85">
        <v>4</v>
      </c>
      <c r="U85" t="s">
        <v>50</v>
      </c>
      <c r="V85" t="s">
        <v>78</v>
      </c>
      <c r="W85">
        <v>5</v>
      </c>
      <c r="X85" t="s">
        <v>35</v>
      </c>
      <c r="Y85">
        <v>0</v>
      </c>
    </row>
    <row r="86" spans="1:25" x14ac:dyDescent="0.25">
      <c r="A86" t="s">
        <v>200</v>
      </c>
      <c r="B86">
        <v>6</v>
      </c>
      <c r="C86">
        <v>1</v>
      </c>
      <c r="D86">
        <v>5</v>
      </c>
      <c r="E86" t="s">
        <v>42</v>
      </c>
      <c r="F86" t="s">
        <v>26</v>
      </c>
      <c r="G86">
        <v>3</v>
      </c>
      <c r="H86">
        <f>stimuli_table[[#This Row],[n_colour1_right]]+stimuli_table[[#This Row],[n_colour2_right]]</f>
        <v>5</v>
      </c>
      <c r="I86" t="s">
        <v>50</v>
      </c>
      <c r="J86" t="s">
        <v>76</v>
      </c>
      <c r="K86" t="s">
        <v>29</v>
      </c>
      <c r="L86" t="s">
        <v>79</v>
      </c>
      <c r="M86" t="s">
        <v>31</v>
      </c>
      <c r="N86" s="3">
        <v>3</v>
      </c>
      <c r="O86" t="s">
        <v>32</v>
      </c>
      <c r="P86" t="s">
        <v>33</v>
      </c>
      <c r="Q86" t="s">
        <v>78</v>
      </c>
      <c r="R86">
        <v>2</v>
      </c>
      <c r="S86" t="s">
        <v>35</v>
      </c>
      <c r="T86">
        <v>4</v>
      </c>
      <c r="U86" t="s">
        <v>52</v>
      </c>
      <c r="V86" t="s">
        <v>78</v>
      </c>
      <c r="W86">
        <v>3</v>
      </c>
      <c r="X86" t="s">
        <v>35</v>
      </c>
      <c r="Y86">
        <v>2</v>
      </c>
    </row>
    <row r="87" spans="1:25" x14ac:dyDescent="0.25">
      <c r="A87" t="s">
        <v>200</v>
      </c>
      <c r="B87">
        <v>6</v>
      </c>
      <c r="C87">
        <v>2</v>
      </c>
      <c r="D87">
        <v>6</v>
      </c>
      <c r="E87" t="s">
        <v>42</v>
      </c>
      <c r="F87" t="s">
        <v>37</v>
      </c>
      <c r="G87">
        <v>3</v>
      </c>
      <c r="H87">
        <f>stimuli_table[[#This Row],[n_colour1_right]]+stimuli_table[[#This Row],[n_colour2_right]]</f>
        <v>5</v>
      </c>
      <c r="I87" t="s">
        <v>50</v>
      </c>
      <c r="J87" t="s">
        <v>76</v>
      </c>
      <c r="K87" t="s">
        <v>29</v>
      </c>
      <c r="L87" t="s">
        <v>79</v>
      </c>
      <c r="M87" t="s">
        <v>41</v>
      </c>
      <c r="N87" s="3">
        <v>4</v>
      </c>
      <c r="O87" t="s">
        <v>32</v>
      </c>
      <c r="P87" t="s">
        <v>33</v>
      </c>
      <c r="Q87" t="s">
        <v>78</v>
      </c>
      <c r="R87">
        <v>2</v>
      </c>
      <c r="S87" t="s">
        <v>35</v>
      </c>
      <c r="T87">
        <v>4</v>
      </c>
      <c r="U87" t="s">
        <v>50</v>
      </c>
      <c r="V87" t="s">
        <v>78</v>
      </c>
      <c r="W87">
        <v>0</v>
      </c>
      <c r="X87" t="s">
        <v>35</v>
      </c>
      <c r="Y87">
        <v>5</v>
      </c>
    </row>
    <row r="88" spans="1:25" x14ac:dyDescent="0.25">
      <c r="A88" t="s">
        <v>200</v>
      </c>
      <c r="B88">
        <v>6</v>
      </c>
      <c r="C88">
        <v>3</v>
      </c>
      <c r="D88">
        <v>7</v>
      </c>
      <c r="E88" t="s">
        <v>42</v>
      </c>
      <c r="F88" t="s">
        <v>39</v>
      </c>
      <c r="G88">
        <v>3</v>
      </c>
      <c r="H88">
        <f>stimuli_table[[#This Row],[n_colour1_right]]+stimuli_table[[#This Row],[n_colour2_right]]</f>
        <v>5</v>
      </c>
      <c r="I88" t="s">
        <v>50</v>
      </c>
      <c r="J88" t="s">
        <v>76</v>
      </c>
      <c r="K88" t="s">
        <v>29</v>
      </c>
      <c r="L88" t="s">
        <v>79</v>
      </c>
      <c r="M88" t="s">
        <v>41</v>
      </c>
      <c r="N88" s="3">
        <v>1</v>
      </c>
      <c r="O88" t="s">
        <v>32</v>
      </c>
      <c r="P88" t="s">
        <v>33</v>
      </c>
      <c r="Q88" t="s">
        <v>78</v>
      </c>
      <c r="R88">
        <v>2</v>
      </c>
      <c r="S88" t="s">
        <v>35</v>
      </c>
      <c r="T88">
        <v>4</v>
      </c>
      <c r="U88" t="s">
        <v>50</v>
      </c>
      <c r="V88" t="s">
        <v>78</v>
      </c>
      <c r="W88">
        <v>1</v>
      </c>
      <c r="X88" t="s">
        <v>35</v>
      </c>
      <c r="Y88">
        <v>4</v>
      </c>
    </row>
    <row r="89" spans="1:25" x14ac:dyDescent="0.25">
      <c r="A89" t="s">
        <v>200</v>
      </c>
      <c r="B89">
        <v>6</v>
      </c>
      <c r="C89">
        <v>4</v>
      </c>
      <c r="D89">
        <v>8</v>
      </c>
      <c r="E89" t="s">
        <v>42</v>
      </c>
      <c r="F89" t="s">
        <v>40</v>
      </c>
      <c r="G89">
        <v>3</v>
      </c>
      <c r="H89">
        <f>stimuli_table[[#This Row],[n_colour1_right]]+stimuli_table[[#This Row],[n_colour2_right]]</f>
        <v>5</v>
      </c>
      <c r="I89" t="s">
        <v>50</v>
      </c>
      <c r="J89" t="s">
        <v>76</v>
      </c>
      <c r="K89" t="s">
        <v>29</v>
      </c>
      <c r="L89" t="s">
        <v>79</v>
      </c>
      <c r="M89" t="s">
        <v>38</v>
      </c>
      <c r="N89" s="3">
        <v>2</v>
      </c>
      <c r="O89" t="s">
        <v>32</v>
      </c>
      <c r="P89" t="s">
        <v>33</v>
      </c>
      <c r="Q89" t="s">
        <v>78</v>
      </c>
      <c r="R89">
        <v>2</v>
      </c>
      <c r="S89" t="s">
        <v>35</v>
      </c>
      <c r="T89">
        <v>4</v>
      </c>
      <c r="U89" t="s">
        <v>50</v>
      </c>
      <c r="V89" t="s">
        <v>78</v>
      </c>
      <c r="W89">
        <v>5</v>
      </c>
      <c r="X89" t="s">
        <v>35</v>
      </c>
      <c r="Y89">
        <v>0</v>
      </c>
    </row>
    <row r="90" spans="1:25" x14ac:dyDescent="0.25">
      <c r="A90" t="s">
        <v>200</v>
      </c>
      <c r="B90">
        <v>6</v>
      </c>
      <c r="C90">
        <v>1</v>
      </c>
      <c r="D90">
        <v>9</v>
      </c>
      <c r="E90" t="s">
        <v>44</v>
      </c>
      <c r="F90" t="s">
        <v>26</v>
      </c>
      <c r="G90">
        <v>3</v>
      </c>
      <c r="H90">
        <f>stimuli_table[[#This Row],[n_colour1_right]]+stimuli_table[[#This Row],[n_colour2_right]]</f>
        <v>5</v>
      </c>
      <c r="I90" t="s">
        <v>50</v>
      </c>
      <c r="J90" t="s">
        <v>76</v>
      </c>
      <c r="K90" t="s">
        <v>29</v>
      </c>
      <c r="L90" t="s">
        <v>80</v>
      </c>
      <c r="M90" t="s">
        <v>31</v>
      </c>
      <c r="N90" s="4">
        <v>4</v>
      </c>
      <c r="O90" t="s">
        <v>32</v>
      </c>
      <c r="P90" t="s">
        <v>33</v>
      </c>
      <c r="Q90" t="s">
        <v>78</v>
      </c>
      <c r="R90">
        <v>2</v>
      </c>
      <c r="S90" t="s">
        <v>35</v>
      </c>
      <c r="T90">
        <v>4</v>
      </c>
      <c r="U90" t="s">
        <v>52</v>
      </c>
      <c r="V90" t="s">
        <v>78</v>
      </c>
      <c r="W90">
        <v>3</v>
      </c>
      <c r="X90" t="s">
        <v>35</v>
      </c>
      <c r="Y90">
        <v>2</v>
      </c>
    </row>
    <row r="91" spans="1:25" x14ac:dyDescent="0.25">
      <c r="A91" t="s">
        <v>200</v>
      </c>
      <c r="B91">
        <v>6</v>
      </c>
      <c r="C91">
        <v>2</v>
      </c>
      <c r="D91">
        <v>10</v>
      </c>
      <c r="E91" t="s">
        <v>44</v>
      </c>
      <c r="F91" t="s">
        <v>37</v>
      </c>
      <c r="G91">
        <v>3</v>
      </c>
      <c r="H91">
        <f>stimuli_table[[#This Row],[n_colour1_right]]+stimuli_table[[#This Row],[n_colour2_right]]</f>
        <v>5</v>
      </c>
      <c r="I91" t="s">
        <v>50</v>
      </c>
      <c r="J91" t="s">
        <v>76</v>
      </c>
      <c r="K91" t="s">
        <v>29</v>
      </c>
      <c r="L91" t="s">
        <v>80</v>
      </c>
      <c r="M91" t="s">
        <v>41</v>
      </c>
      <c r="N91" s="4">
        <v>1</v>
      </c>
      <c r="O91" t="s">
        <v>32</v>
      </c>
      <c r="P91" t="s">
        <v>33</v>
      </c>
      <c r="Q91" t="s">
        <v>78</v>
      </c>
      <c r="R91">
        <v>2</v>
      </c>
      <c r="S91" t="s">
        <v>35</v>
      </c>
      <c r="T91">
        <v>4</v>
      </c>
      <c r="U91" t="s">
        <v>50</v>
      </c>
      <c r="V91" t="s">
        <v>78</v>
      </c>
      <c r="W91">
        <v>0</v>
      </c>
      <c r="X91" t="s">
        <v>35</v>
      </c>
      <c r="Y91">
        <v>5</v>
      </c>
    </row>
    <row r="92" spans="1:25" x14ac:dyDescent="0.25">
      <c r="A92" t="s">
        <v>200</v>
      </c>
      <c r="B92">
        <v>6</v>
      </c>
      <c r="C92">
        <v>3</v>
      </c>
      <c r="D92">
        <v>11</v>
      </c>
      <c r="E92" t="s">
        <v>44</v>
      </c>
      <c r="F92" t="s">
        <v>39</v>
      </c>
      <c r="G92">
        <v>3</v>
      </c>
      <c r="H92">
        <f>stimuli_table[[#This Row],[n_colour1_right]]+stimuli_table[[#This Row],[n_colour2_right]]</f>
        <v>5</v>
      </c>
      <c r="I92" t="s">
        <v>50</v>
      </c>
      <c r="J92" t="s">
        <v>76</v>
      </c>
      <c r="K92" t="s">
        <v>29</v>
      </c>
      <c r="L92" t="s">
        <v>80</v>
      </c>
      <c r="M92" t="s">
        <v>41</v>
      </c>
      <c r="N92" s="4">
        <v>2</v>
      </c>
      <c r="O92" t="s">
        <v>32</v>
      </c>
      <c r="P92" t="s">
        <v>33</v>
      </c>
      <c r="Q92" t="s">
        <v>78</v>
      </c>
      <c r="R92">
        <v>2</v>
      </c>
      <c r="S92" t="s">
        <v>35</v>
      </c>
      <c r="T92">
        <v>4</v>
      </c>
      <c r="U92" t="s">
        <v>50</v>
      </c>
      <c r="V92" t="s">
        <v>78</v>
      </c>
      <c r="W92">
        <v>1</v>
      </c>
      <c r="X92" t="s">
        <v>35</v>
      </c>
      <c r="Y92">
        <v>4</v>
      </c>
    </row>
    <row r="93" spans="1:25" x14ac:dyDescent="0.25">
      <c r="A93" t="s">
        <v>200</v>
      </c>
      <c r="B93">
        <v>6</v>
      </c>
      <c r="C93">
        <v>4</v>
      </c>
      <c r="D93">
        <v>12</v>
      </c>
      <c r="E93" t="s">
        <v>44</v>
      </c>
      <c r="F93" t="s">
        <v>40</v>
      </c>
      <c r="G93">
        <v>3</v>
      </c>
      <c r="H93">
        <f>stimuli_table[[#This Row],[n_colour1_right]]+stimuli_table[[#This Row],[n_colour2_right]]</f>
        <v>5</v>
      </c>
      <c r="I93" t="s">
        <v>50</v>
      </c>
      <c r="J93" t="s">
        <v>76</v>
      </c>
      <c r="K93" t="s">
        <v>29</v>
      </c>
      <c r="L93" t="s">
        <v>80</v>
      </c>
      <c r="M93" t="s">
        <v>38</v>
      </c>
      <c r="N93" s="4">
        <v>3</v>
      </c>
      <c r="O93" t="s">
        <v>32</v>
      </c>
      <c r="P93" t="s">
        <v>33</v>
      </c>
      <c r="Q93" t="s">
        <v>78</v>
      </c>
      <c r="R93">
        <v>2</v>
      </c>
      <c r="S93" t="s">
        <v>35</v>
      </c>
      <c r="T93">
        <v>4</v>
      </c>
      <c r="U93" t="s">
        <v>50</v>
      </c>
      <c r="V93" t="s">
        <v>78</v>
      </c>
      <c r="W93">
        <v>5</v>
      </c>
      <c r="X93" t="s">
        <v>35</v>
      </c>
      <c r="Y93">
        <v>0</v>
      </c>
    </row>
    <row r="94" spans="1:25" x14ac:dyDescent="0.25">
      <c r="A94" t="s">
        <v>200</v>
      </c>
      <c r="B94">
        <v>6</v>
      </c>
      <c r="C94">
        <v>1</v>
      </c>
      <c r="D94">
        <v>13</v>
      </c>
      <c r="E94" t="s">
        <v>46</v>
      </c>
      <c r="F94" t="s">
        <v>26</v>
      </c>
      <c r="G94">
        <v>3</v>
      </c>
      <c r="H94">
        <f>stimuli_table[[#This Row],[n_colour1_right]]+stimuli_table[[#This Row],[n_colour2_right]]</f>
        <v>5</v>
      </c>
      <c r="I94" t="s">
        <v>50</v>
      </c>
      <c r="J94" t="s">
        <v>76</v>
      </c>
      <c r="K94" t="s">
        <v>29</v>
      </c>
      <c r="L94" t="s">
        <v>81</v>
      </c>
      <c r="M94" t="s">
        <v>31</v>
      </c>
      <c r="N94" s="1">
        <v>1</v>
      </c>
      <c r="O94" t="s">
        <v>32</v>
      </c>
      <c r="P94" t="s">
        <v>33</v>
      </c>
      <c r="Q94" t="s">
        <v>78</v>
      </c>
      <c r="R94">
        <v>2</v>
      </c>
      <c r="S94" t="s">
        <v>35</v>
      </c>
      <c r="T94">
        <v>4</v>
      </c>
      <c r="U94" t="s">
        <v>52</v>
      </c>
      <c r="V94" t="s">
        <v>78</v>
      </c>
      <c r="W94">
        <v>3</v>
      </c>
      <c r="X94" t="s">
        <v>35</v>
      </c>
      <c r="Y94">
        <v>2</v>
      </c>
    </row>
    <row r="95" spans="1:25" x14ac:dyDescent="0.25">
      <c r="A95" t="s">
        <v>200</v>
      </c>
      <c r="B95">
        <v>6</v>
      </c>
      <c r="C95">
        <v>2</v>
      </c>
      <c r="D95">
        <v>14</v>
      </c>
      <c r="E95" t="s">
        <v>46</v>
      </c>
      <c r="F95" t="s">
        <v>37</v>
      </c>
      <c r="G95">
        <v>3</v>
      </c>
      <c r="H95">
        <f>stimuli_table[[#This Row],[n_colour1_right]]+stimuli_table[[#This Row],[n_colour2_right]]</f>
        <v>5</v>
      </c>
      <c r="I95" t="s">
        <v>50</v>
      </c>
      <c r="J95" t="s">
        <v>76</v>
      </c>
      <c r="K95" t="s">
        <v>29</v>
      </c>
      <c r="L95" t="s">
        <v>81</v>
      </c>
      <c r="M95" t="s">
        <v>38</v>
      </c>
      <c r="N95" s="1">
        <v>2</v>
      </c>
      <c r="O95" t="s">
        <v>32</v>
      </c>
      <c r="P95" t="s">
        <v>33</v>
      </c>
      <c r="Q95" t="s">
        <v>78</v>
      </c>
      <c r="R95">
        <v>2</v>
      </c>
      <c r="S95" t="s">
        <v>35</v>
      </c>
      <c r="T95">
        <v>4</v>
      </c>
      <c r="U95" t="s">
        <v>50</v>
      </c>
      <c r="V95" t="s">
        <v>78</v>
      </c>
      <c r="W95">
        <v>0</v>
      </c>
      <c r="X95" t="s">
        <v>35</v>
      </c>
      <c r="Y95">
        <v>5</v>
      </c>
    </row>
    <row r="96" spans="1:25" x14ac:dyDescent="0.25">
      <c r="A96" t="s">
        <v>200</v>
      </c>
      <c r="B96">
        <v>6</v>
      </c>
      <c r="C96">
        <v>3</v>
      </c>
      <c r="D96">
        <v>15</v>
      </c>
      <c r="E96" t="s">
        <v>46</v>
      </c>
      <c r="F96" t="s">
        <v>39</v>
      </c>
      <c r="G96">
        <v>3</v>
      </c>
      <c r="H96">
        <f>stimuli_table[[#This Row],[n_colour1_right]]+stimuli_table[[#This Row],[n_colour2_right]]</f>
        <v>5</v>
      </c>
      <c r="I96" t="s">
        <v>50</v>
      </c>
      <c r="J96" t="s">
        <v>76</v>
      </c>
      <c r="K96" t="s">
        <v>29</v>
      </c>
      <c r="L96" t="s">
        <v>81</v>
      </c>
      <c r="M96" t="s">
        <v>41</v>
      </c>
      <c r="N96" s="1">
        <v>3</v>
      </c>
      <c r="O96" t="s">
        <v>32</v>
      </c>
      <c r="P96" t="s">
        <v>33</v>
      </c>
      <c r="Q96" t="s">
        <v>78</v>
      </c>
      <c r="R96">
        <v>2</v>
      </c>
      <c r="S96" t="s">
        <v>35</v>
      </c>
      <c r="T96">
        <v>4</v>
      </c>
      <c r="U96" t="s">
        <v>50</v>
      </c>
      <c r="V96" t="s">
        <v>78</v>
      </c>
      <c r="W96">
        <v>1</v>
      </c>
      <c r="X96" t="s">
        <v>35</v>
      </c>
      <c r="Y96">
        <v>4</v>
      </c>
    </row>
    <row r="97" spans="1:25" x14ac:dyDescent="0.25">
      <c r="A97" t="s">
        <v>200</v>
      </c>
      <c r="B97">
        <v>6</v>
      </c>
      <c r="C97">
        <v>4</v>
      </c>
      <c r="D97">
        <v>16</v>
      </c>
      <c r="E97" t="s">
        <v>46</v>
      </c>
      <c r="F97" t="s">
        <v>40</v>
      </c>
      <c r="G97">
        <v>3</v>
      </c>
      <c r="H97">
        <f>stimuli_table[[#This Row],[n_colour1_right]]+stimuli_table[[#This Row],[n_colour2_right]]</f>
        <v>5</v>
      </c>
      <c r="I97" t="s">
        <v>50</v>
      </c>
      <c r="J97" t="s">
        <v>76</v>
      </c>
      <c r="K97" t="s">
        <v>29</v>
      </c>
      <c r="L97" t="s">
        <v>81</v>
      </c>
      <c r="M97" t="s">
        <v>41</v>
      </c>
      <c r="N97" s="1">
        <v>4</v>
      </c>
      <c r="O97" t="s">
        <v>32</v>
      </c>
      <c r="P97" t="s">
        <v>33</v>
      </c>
      <c r="Q97" t="s">
        <v>78</v>
      </c>
      <c r="R97">
        <v>2</v>
      </c>
      <c r="S97" t="s">
        <v>35</v>
      </c>
      <c r="T97">
        <v>4</v>
      </c>
      <c r="U97" t="s">
        <v>50</v>
      </c>
      <c r="V97" t="s">
        <v>78</v>
      </c>
      <c r="W97">
        <v>5</v>
      </c>
      <c r="X97" t="s">
        <v>35</v>
      </c>
      <c r="Y97">
        <v>0</v>
      </c>
    </row>
    <row r="98" spans="1:25" x14ac:dyDescent="0.25">
      <c r="A98" t="s">
        <v>200</v>
      </c>
      <c r="B98">
        <v>7</v>
      </c>
      <c r="C98">
        <v>1</v>
      </c>
      <c r="D98">
        <v>1</v>
      </c>
      <c r="E98" t="s">
        <v>25</v>
      </c>
      <c r="F98" t="s">
        <v>26</v>
      </c>
      <c r="G98">
        <v>4</v>
      </c>
      <c r="H98">
        <f>stimuli_table[[#This Row],[n_colour1_right]]+stimuli_table[[#This Row],[n_colour2_right]]</f>
        <v>6</v>
      </c>
      <c r="I98" t="s">
        <v>27</v>
      </c>
      <c r="J98" t="s">
        <v>82</v>
      </c>
      <c r="K98" t="s">
        <v>29</v>
      </c>
      <c r="L98" t="s">
        <v>83</v>
      </c>
      <c r="M98" t="s">
        <v>31</v>
      </c>
      <c r="N98" s="3">
        <v>3</v>
      </c>
      <c r="O98" t="s">
        <v>32</v>
      </c>
      <c r="P98" t="s">
        <v>50</v>
      </c>
      <c r="Q98" t="s">
        <v>48</v>
      </c>
      <c r="R98">
        <v>3</v>
      </c>
      <c r="S98" t="s">
        <v>84</v>
      </c>
      <c r="T98">
        <v>1</v>
      </c>
      <c r="U98" t="s">
        <v>36</v>
      </c>
      <c r="V98" t="s">
        <v>48</v>
      </c>
      <c r="W98">
        <v>3</v>
      </c>
      <c r="X98" t="s">
        <v>84</v>
      </c>
      <c r="Y98">
        <v>3</v>
      </c>
    </row>
    <row r="99" spans="1:25" x14ac:dyDescent="0.25">
      <c r="A99" t="s">
        <v>200</v>
      </c>
      <c r="B99">
        <v>7</v>
      </c>
      <c r="C99">
        <v>2</v>
      </c>
      <c r="D99">
        <v>2</v>
      </c>
      <c r="E99" t="s">
        <v>25</v>
      </c>
      <c r="F99" t="s">
        <v>37</v>
      </c>
      <c r="G99">
        <v>4</v>
      </c>
      <c r="H99">
        <f>stimuli_table[[#This Row],[n_colour1_right]]+stimuli_table[[#This Row],[n_colour2_right]]</f>
        <v>6</v>
      </c>
      <c r="I99" t="s">
        <v>27</v>
      </c>
      <c r="J99" t="s">
        <v>82</v>
      </c>
      <c r="K99" t="s">
        <v>29</v>
      </c>
      <c r="L99" t="s">
        <v>83</v>
      </c>
      <c r="M99" t="s">
        <v>38</v>
      </c>
      <c r="N99" s="3">
        <v>4</v>
      </c>
      <c r="O99" t="s">
        <v>32</v>
      </c>
      <c r="P99" t="s">
        <v>50</v>
      </c>
      <c r="Q99" t="s">
        <v>48</v>
      </c>
      <c r="R99">
        <v>3</v>
      </c>
      <c r="S99" t="s">
        <v>84</v>
      </c>
      <c r="T99">
        <v>1</v>
      </c>
      <c r="U99" t="s">
        <v>27</v>
      </c>
      <c r="V99" t="s">
        <v>48</v>
      </c>
      <c r="W99">
        <v>0</v>
      </c>
      <c r="X99" t="s">
        <v>84</v>
      </c>
      <c r="Y99">
        <v>6</v>
      </c>
    </row>
    <row r="100" spans="1:25" x14ac:dyDescent="0.25">
      <c r="A100" t="s">
        <v>200</v>
      </c>
      <c r="B100">
        <v>7</v>
      </c>
      <c r="C100">
        <v>3</v>
      </c>
      <c r="D100">
        <v>3</v>
      </c>
      <c r="E100" t="s">
        <v>25</v>
      </c>
      <c r="F100" t="s">
        <v>39</v>
      </c>
      <c r="G100">
        <v>4</v>
      </c>
      <c r="H100">
        <f>stimuli_table[[#This Row],[n_colour1_right]]+stimuli_table[[#This Row],[n_colour2_right]]</f>
        <v>6</v>
      </c>
      <c r="I100" t="s">
        <v>27</v>
      </c>
      <c r="J100" t="s">
        <v>82</v>
      </c>
      <c r="K100" t="s">
        <v>29</v>
      </c>
      <c r="L100" t="s">
        <v>83</v>
      </c>
      <c r="M100" t="s">
        <v>38</v>
      </c>
      <c r="N100" s="3">
        <v>1</v>
      </c>
      <c r="O100" t="s">
        <v>32</v>
      </c>
      <c r="P100" t="s">
        <v>50</v>
      </c>
      <c r="Q100" t="s">
        <v>48</v>
      </c>
      <c r="R100">
        <v>3</v>
      </c>
      <c r="S100" t="s">
        <v>84</v>
      </c>
      <c r="T100">
        <v>1</v>
      </c>
      <c r="U100" t="s">
        <v>27</v>
      </c>
      <c r="V100" t="s">
        <v>48</v>
      </c>
      <c r="W100">
        <v>2</v>
      </c>
      <c r="X100" t="s">
        <v>84</v>
      </c>
      <c r="Y100">
        <v>4</v>
      </c>
    </row>
    <row r="101" spans="1:25" x14ac:dyDescent="0.25">
      <c r="A101" t="s">
        <v>200</v>
      </c>
      <c r="B101">
        <v>7</v>
      </c>
      <c r="C101">
        <v>4</v>
      </c>
      <c r="D101">
        <v>4</v>
      </c>
      <c r="E101" t="s">
        <v>25</v>
      </c>
      <c r="F101" t="s">
        <v>40</v>
      </c>
      <c r="G101">
        <v>4</v>
      </c>
      <c r="H101">
        <f>stimuli_table[[#This Row],[n_colour1_right]]+stimuli_table[[#This Row],[n_colour2_right]]</f>
        <v>6</v>
      </c>
      <c r="I101" t="s">
        <v>27</v>
      </c>
      <c r="J101" t="s">
        <v>82</v>
      </c>
      <c r="K101" t="s">
        <v>29</v>
      </c>
      <c r="L101" t="s">
        <v>83</v>
      </c>
      <c r="M101" t="s">
        <v>41</v>
      </c>
      <c r="N101" s="3">
        <v>2</v>
      </c>
      <c r="O101" t="s">
        <v>32</v>
      </c>
      <c r="P101" t="s">
        <v>50</v>
      </c>
      <c r="Q101" t="s">
        <v>48</v>
      </c>
      <c r="R101">
        <v>3</v>
      </c>
      <c r="S101" t="s">
        <v>84</v>
      </c>
      <c r="T101">
        <v>1</v>
      </c>
      <c r="U101" t="s">
        <v>27</v>
      </c>
      <c r="V101" t="s">
        <v>48</v>
      </c>
      <c r="W101">
        <v>6</v>
      </c>
      <c r="X101" t="s">
        <v>84</v>
      </c>
      <c r="Y101">
        <v>0</v>
      </c>
    </row>
    <row r="102" spans="1:25" x14ac:dyDescent="0.25">
      <c r="A102" t="s">
        <v>200</v>
      </c>
      <c r="B102">
        <v>7</v>
      </c>
      <c r="C102">
        <v>1</v>
      </c>
      <c r="D102">
        <v>5</v>
      </c>
      <c r="E102" t="s">
        <v>42</v>
      </c>
      <c r="F102" t="s">
        <v>26</v>
      </c>
      <c r="G102">
        <v>4</v>
      </c>
      <c r="H102">
        <f>stimuli_table[[#This Row],[n_colour1_right]]+stimuli_table[[#This Row],[n_colour2_right]]</f>
        <v>6</v>
      </c>
      <c r="I102" t="s">
        <v>27</v>
      </c>
      <c r="J102" t="s">
        <v>82</v>
      </c>
      <c r="K102" t="s">
        <v>29</v>
      </c>
      <c r="L102" t="s">
        <v>85</v>
      </c>
      <c r="M102" t="s">
        <v>31</v>
      </c>
      <c r="N102" s="4">
        <v>4</v>
      </c>
      <c r="O102" t="s">
        <v>32</v>
      </c>
      <c r="P102" t="s">
        <v>50</v>
      </c>
      <c r="Q102" t="s">
        <v>48</v>
      </c>
      <c r="R102">
        <v>3</v>
      </c>
      <c r="S102" t="s">
        <v>84</v>
      </c>
      <c r="T102">
        <v>1</v>
      </c>
      <c r="U102" t="s">
        <v>36</v>
      </c>
      <c r="V102" t="s">
        <v>48</v>
      </c>
      <c r="W102">
        <v>3</v>
      </c>
      <c r="X102" t="s">
        <v>84</v>
      </c>
      <c r="Y102">
        <v>3</v>
      </c>
    </row>
    <row r="103" spans="1:25" x14ac:dyDescent="0.25">
      <c r="A103" t="s">
        <v>200</v>
      </c>
      <c r="B103">
        <v>7</v>
      </c>
      <c r="C103">
        <v>2</v>
      </c>
      <c r="D103">
        <v>6</v>
      </c>
      <c r="E103" t="s">
        <v>42</v>
      </c>
      <c r="F103" t="s">
        <v>37</v>
      </c>
      <c r="G103">
        <v>4</v>
      </c>
      <c r="H103">
        <f>stimuli_table[[#This Row],[n_colour1_right]]+stimuli_table[[#This Row],[n_colour2_right]]</f>
        <v>6</v>
      </c>
      <c r="I103" t="s">
        <v>27</v>
      </c>
      <c r="J103" t="s">
        <v>82</v>
      </c>
      <c r="K103" t="s">
        <v>29</v>
      </c>
      <c r="L103" t="s">
        <v>85</v>
      </c>
      <c r="M103" t="s">
        <v>41</v>
      </c>
      <c r="N103" s="4">
        <v>1</v>
      </c>
      <c r="O103" t="s">
        <v>32</v>
      </c>
      <c r="P103" t="s">
        <v>50</v>
      </c>
      <c r="Q103" t="s">
        <v>48</v>
      </c>
      <c r="R103">
        <v>3</v>
      </c>
      <c r="S103" t="s">
        <v>84</v>
      </c>
      <c r="T103">
        <v>1</v>
      </c>
      <c r="U103" t="s">
        <v>27</v>
      </c>
      <c r="V103" t="s">
        <v>48</v>
      </c>
      <c r="W103">
        <v>0</v>
      </c>
      <c r="X103" t="s">
        <v>84</v>
      </c>
      <c r="Y103">
        <v>6</v>
      </c>
    </row>
    <row r="104" spans="1:25" x14ac:dyDescent="0.25">
      <c r="A104" t="s">
        <v>200</v>
      </c>
      <c r="B104">
        <v>7</v>
      </c>
      <c r="C104">
        <v>3</v>
      </c>
      <c r="D104">
        <v>7</v>
      </c>
      <c r="E104" t="s">
        <v>42</v>
      </c>
      <c r="F104" t="s">
        <v>39</v>
      </c>
      <c r="G104">
        <v>4</v>
      </c>
      <c r="H104">
        <f>stimuli_table[[#This Row],[n_colour1_right]]+stimuli_table[[#This Row],[n_colour2_right]]</f>
        <v>6</v>
      </c>
      <c r="I104" t="s">
        <v>27</v>
      </c>
      <c r="J104" t="s">
        <v>82</v>
      </c>
      <c r="K104" t="s">
        <v>29</v>
      </c>
      <c r="L104" t="s">
        <v>85</v>
      </c>
      <c r="M104" t="s">
        <v>41</v>
      </c>
      <c r="N104" s="4">
        <v>2</v>
      </c>
      <c r="O104" t="s">
        <v>32</v>
      </c>
      <c r="P104" t="s">
        <v>50</v>
      </c>
      <c r="Q104" t="s">
        <v>48</v>
      </c>
      <c r="R104">
        <v>3</v>
      </c>
      <c r="S104" t="s">
        <v>84</v>
      </c>
      <c r="T104">
        <v>1</v>
      </c>
      <c r="U104" t="s">
        <v>27</v>
      </c>
      <c r="V104" t="s">
        <v>48</v>
      </c>
      <c r="W104">
        <v>2</v>
      </c>
      <c r="X104" t="s">
        <v>84</v>
      </c>
      <c r="Y104">
        <v>4</v>
      </c>
    </row>
    <row r="105" spans="1:25" x14ac:dyDescent="0.25">
      <c r="A105" t="s">
        <v>200</v>
      </c>
      <c r="B105">
        <v>7</v>
      </c>
      <c r="C105">
        <v>4</v>
      </c>
      <c r="D105">
        <v>8</v>
      </c>
      <c r="E105" t="s">
        <v>42</v>
      </c>
      <c r="F105" t="s">
        <v>40</v>
      </c>
      <c r="G105">
        <v>4</v>
      </c>
      <c r="H105">
        <f>stimuli_table[[#This Row],[n_colour1_right]]+stimuli_table[[#This Row],[n_colour2_right]]</f>
        <v>6</v>
      </c>
      <c r="I105" t="s">
        <v>27</v>
      </c>
      <c r="J105" t="s">
        <v>82</v>
      </c>
      <c r="K105" t="s">
        <v>29</v>
      </c>
      <c r="L105" t="s">
        <v>85</v>
      </c>
      <c r="M105" t="s">
        <v>38</v>
      </c>
      <c r="N105" s="4">
        <v>3</v>
      </c>
      <c r="O105" t="s">
        <v>32</v>
      </c>
      <c r="P105" t="s">
        <v>50</v>
      </c>
      <c r="Q105" t="s">
        <v>48</v>
      </c>
      <c r="R105">
        <v>3</v>
      </c>
      <c r="S105" t="s">
        <v>84</v>
      </c>
      <c r="T105">
        <v>1</v>
      </c>
      <c r="U105" t="s">
        <v>27</v>
      </c>
      <c r="V105" t="s">
        <v>48</v>
      </c>
      <c r="W105">
        <v>6</v>
      </c>
      <c r="X105" t="s">
        <v>84</v>
      </c>
      <c r="Y105">
        <v>0</v>
      </c>
    </row>
    <row r="106" spans="1:25" x14ac:dyDescent="0.25">
      <c r="A106" t="s">
        <v>200</v>
      </c>
      <c r="B106">
        <v>7</v>
      </c>
      <c r="C106">
        <v>1</v>
      </c>
      <c r="D106">
        <v>9</v>
      </c>
      <c r="E106" t="s">
        <v>44</v>
      </c>
      <c r="F106" t="s">
        <v>26</v>
      </c>
      <c r="G106">
        <v>4</v>
      </c>
      <c r="H106">
        <f>stimuli_table[[#This Row],[n_colour1_right]]+stimuli_table[[#This Row],[n_colour2_right]]</f>
        <v>6</v>
      </c>
      <c r="I106" t="s">
        <v>27</v>
      </c>
      <c r="J106" t="s">
        <v>82</v>
      </c>
      <c r="K106" t="s">
        <v>29</v>
      </c>
      <c r="L106" t="s">
        <v>86</v>
      </c>
      <c r="M106" t="s">
        <v>31</v>
      </c>
      <c r="N106" s="1">
        <v>1</v>
      </c>
      <c r="O106" t="s">
        <v>32</v>
      </c>
      <c r="P106" t="s">
        <v>50</v>
      </c>
      <c r="Q106" t="s">
        <v>48</v>
      </c>
      <c r="R106">
        <v>3</v>
      </c>
      <c r="S106" t="s">
        <v>84</v>
      </c>
      <c r="T106">
        <v>1</v>
      </c>
      <c r="U106" t="s">
        <v>36</v>
      </c>
      <c r="V106" t="s">
        <v>48</v>
      </c>
      <c r="W106">
        <v>3</v>
      </c>
      <c r="X106" t="s">
        <v>84</v>
      </c>
      <c r="Y106">
        <v>3</v>
      </c>
    </row>
    <row r="107" spans="1:25" x14ac:dyDescent="0.25">
      <c r="A107" t="s">
        <v>200</v>
      </c>
      <c r="B107">
        <v>7</v>
      </c>
      <c r="C107">
        <v>2</v>
      </c>
      <c r="D107">
        <v>10</v>
      </c>
      <c r="E107" t="s">
        <v>44</v>
      </c>
      <c r="F107" t="s">
        <v>37</v>
      </c>
      <c r="G107">
        <v>4</v>
      </c>
      <c r="H107">
        <f>stimuli_table[[#This Row],[n_colour1_right]]+stimuli_table[[#This Row],[n_colour2_right]]</f>
        <v>6</v>
      </c>
      <c r="I107" t="s">
        <v>27</v>
      </c>
      <c r="J107" t="s">
        <v>82</v>
      </c>
      <c r="K107" t="s">
        <v>29</v>
      </c>
      <c r="L107" t="s">
        <v>86</v>
      </c>
      <c r="M107" t="s">
        <v>41</v>
      </c>
      <c r="N107" s="1">
        <v>2</v>
      </c>
      <c r="O107" t="s">
        <v>32</v>
      </c>
      <c r="P107" t="s">
        <v>50</v>
      </c>
      <c r="Q107" t="s">
        <v>48</v>
      </c>
      <c r="R107">
        <v>3</v>
      </c>
      <c r="S107" t="s">
        <v>84</v>
      </c>
      <c r="T107">
        <v>1</v>
      </c>
      <c r="U107" t="s">
        <v>27</v>
      </c>
      <c r="V107" t="s">
        <v>48</v>
      </c>
      <c r="W107">
        <v>0</v>
      </c>
      <c r="X107" t="s">
        <v>84</v>
      </c>
      <c r="Y107">
        <v>6</v>
      </c>
    </row>
    <row r="108" spans="1:25" x14ac:dyDescent="0.25">
      <c r="A108" t="s">
        <v>200</v>
      </c>
      <c r="B108">
        <v>7</v>
      </c>
      <c r="C108">
        <v>3</v>
      </c>
      <c r="D108">
        <v>11</v>
      </c>
      <c r="E108" t="s">
        <v>44</v>
      </c>
      <c r="F108" t="s">
        <v>39</v>
      </c>
      <c r="G108">
        <v>4</v>
      </c>
      <c r="H108">
        <f>stimuli_table[[#This Row],[n_colour1_right]]+stimuli_table[[#This Row],[n_colour2_right]]</f>
        <v>6</v>
      </c>
      <c r="I108" t="s">
        <v>27</v>
      </c>
      <c r="J108" t="s">
        <v>82</v>
      </c>
      <c r="K108" t="s">
        <v>29</v>
      </c>
      <c r="L108" t="s">
        <v>86</v>
      </c>
      <c r="M108" t="s">
        <v>41</v>
      </c>
      <c r="N108" s="1">
        <v>3</v>
      </c>
      <c r="O108" t="s">
        <v>32</v>
      </c>
      <c r="P108" t="s">
        <v>50</v>
      </c>
      <c r="Q108" t="s">
        <v>48</v>
      </c>
      <c r="R108">
        <v>3</v>
      </c>
      <c r="S108" t="s">
        <v>84</v>
      </c>
      <c r="T108">
        <v>1</v>
      </c>
      <c r="U108" t="s">
        <v>27</v>
      </c>
      <c r="V108" t="s">
        <v>48</v>
      </c>
      <c r="W108">
        <v>2</v>
      </c>
      <c r="X108" t="s">
        <v>84</v>
      </c>
      <c r="Y108">
        <v>4</v>
      </c>
    </row>
    <row r="109" spans="1:25" x14ac:dyDescent="0.25">
      <c r="A109" t="s">
        <v>200</v>
      </c>
      <c r="B109">
        <v>7</v>
      </c>
      <c r="C109">
        <v>4</v>
      </c>
      <c r="D109">
        <v>12</v>
      </c>
      <c r="E109" t="s">
        <v>44</v>
      </c>
      <c r="F109" t="s">
        <v>40</v>
      </c>
      <c r="G109">
        <v>4</v>
      </c>
      <c r="H109">
        <f>stimuli_table[[#This Row],[n_colour1_right]]+stimuli_table[[#This Row],[n_colour2_right]]</f>
        <v>6</v>
      </c>
      <c r="I109" t="s">
        <v>27</v>
      </c>
      <c r="J109" t="s">
        <v>82</v>
      </c>
      <c r="K109" t="s">
        <v>29</v>
      </c>
      <c r="L109" t="s">
        <v>86</v>
      </c>
      <c r="M109" t="s">
        <v>38</v>
      </c>
      <c r="N109" s="1">
        <v>4</v>
      </c>
      <c r="O109" t="s">
        <v>32</v>
      </c>
      <c r="P109" t="s">
        <v>50</v>
      </c>
      <c r="Q109" t="s">
        <v>48</v>
      </c>
      <c r="R109">
        <v>3</v>
      </c>
      <c r="S109" t="s">
        <v>84</v>
      </c>
      <c r="T109">
        <v>1</v>
      </c>
      <c r="U109" t="s">
        <v>27</v>
      </c>
      <c r="V109" t="s">
        <v>48</v>
      </c>
      <c r="W109">
        <v>6</v>
      </c>
      <c r="X109" t="s">
        <v>84</v>
      </c>
      <c r="Y109">
        <v>0</v>
      </c>
    </row>
    <row r="110" spans="1:25" x14ac:dyDescent="0.25">
      <c r="A110" t="s">
        <v>200</v>
      </c>
      <c r="B110">
        <v>7</v>
      </c>
      <c r="C110">
        <v>1</v>
      </c>
      <c r="D110">
        <v>13</v>
      </c>
      <c r="E110" t="s">
        <v>46</v>
      </c>
      <c r="F110" t="s">
        <v>26</v>
      </c>
      <c r="G110">
        <v>4</v>
      </c>
      <c r="H110">
        <f>stimuli_table[[#This Row],[n_colour1_right]]+stimuli_table[[#This Row],[n_colour2_right]]</f>
        <v>6</v>
      </c>
      <c r="I110" t="s">
        <v>27</v>
      </c>
      <c r="J110" t="s">
        <v>82</v>
      </c>
      <c r="K110" t="s">
        <v>29</v>
      </c>
      <c r="L110" t="s">
        <v>87</v>
      </c>
      <c r="M110" t="s">
        <v>31</v>
      </c>
      <c r="N110" s="2">
        <v>2</v>
      </c>
      <c r="O110" t="s">
        <v>32</v>
      </c>
      <c r="P110" t="s">
        <v>50</v>
      </c>
      <c r="Q110" t="s">
        <v>48</v>
      </c>
      <c r="R110">
        <v>3</v>
      </c>
      <c r="S110" t="s">
        <v>84</v>
      </c>
      <c r="T110">
        <v>1</v>
      </c>
      <c r="U110" t="s">
        <v>36</v>
      </c>
      <c r="V110" t="s">
        <v>48</v>
      </c>
      <c r="W110">
        <v>3</v>
      </c>
      <c r="X110" t="s">
        <v>84</v>
      </c>
      <c r="Y110">
        <v>3</v>
      </c>
    </row>
    <row r="111" spans="1:25" x14ac:dyDescent="0.25">
      <c r="A111" t="s">
        <v>200</v>
      </c>
      <c r="B111">
        <v>7</v>
      </c>
      <c r="C111">
        <v>2</v>
      </c>
      <c r="D111">
        <v>14</v>
      </c>
      <c r="E111" t="s">
        <v>46</v>
      </c>
      <c r="F111" t="s">
        <v>37</v>
      </c>
      <c r="G111">
        <v>4</v>
      </c>
      <c r="H111">
        <f>stimuli_table[[#This Row],[n_colour1_right]]+stimuli_table[[#This Row],[n_colour2_right]]</f>
        <v>6</v>
      </c>
      <c r="I111" t="s">
        <v>27</v>
      </c>
      <c r="J111" t="s">
        <v>82</v>
      </c>
      <c r="K111" t="s">
        <v>29</v>
      </c>
      <c r="L111" t="s">
        <v>87</v>
      </c>
      <c r="M111" t="s">
        <v>38</v>
      </c>
      <c r="N111" s="2">
        <v>3</v>
      </c>
      <c r="O111" t="s">
        <v>32</v>
      </c>
      <c r="P111" t="s">
        <v>50</v>
      </c>
      <c r="Q111" t="s">
        <v>48</v>
      </c>
      <c r="R111">
        <v>3</v>
      </c>
      <c r="S111" t="s">
        <v>84</v>
      </c>
      <c r="T111">
        <v>1</v>
      </c>
      <c r="U111" t="s">
        <v>27</v>
      </c>
      <c r="V111" t="s">
        <v>48</v>
      </c>
      <c r="W111">
        <v>0</v>
      </c>
      <c r="X111" t="s">
        <v>84</v>
      </c>
      <c r="Y111">
        <v>6</v>
      </c>
    </row>
    <row r="112" spans="1:25" x14ac:dyDescent="0.25">
      <c r="A112" t="s">
        <v>200</v>
      </c>
      <c r="B112">
        <v>7</v>
      </c>
      <c r="C112">
        <v>3</v>
      </c>
      <c r="D112">
        <v>15</v>
      </c>
      <c r="E112" t="s">
        <v>46</v>
      </c>
      <c r="F112" t="s">
        <v>39</v>
      </c>
      <c r="G112">
        <v>4</v>
      </c>
      <c r="H112">
        <f>stimuli_table[[#This Row],[n_colour1_right]]+stimuli_table[[#This Row],[n_colour2_right]]</f>
        <v>6</v>
      </c>
      <c r="I112" t="s">
        <v>27</v>
      </c>
      <c r="J112" t="s">
        <v>82</v>
      </c>
      <c r="K112" t="s">
        <v>29</v>
      </c>
      <c r="L112" t="s">
        <v>87</v>
      </c>
      <c r="M112" t="s">
        <v>41</v>
      </c>
      <c r="N112" s="2">
        <v>4</v>
      </c>
      <c r="O112" t="s">
        <v>32</v>
      </c>
      <c r="P112" t="s">
        <v>50</v>
      </c>
      <c r="Q112" t="s">
        <v>48</v>
      </c>
      <c r="R112">
        <v>3</v>
      </c>
      <c r="S112" t="s">
        <v>84</v>
      </c>
      <c r="T112">
        <v>1</v>
      </c>
      <c r="U112" t="s">
        <v>27</v>
      </c>
      <c r="V112" t="s">
        <v>48</v>
      </c>
      <c r="W112">
        <v>2</v>
      </c>
      <c r="X112" t="s">
        <v>84</v>
      </c>
      <c r="Y112">
        <v>4</v>
      </c>
    </row>
    <row r="113" spans="1:25" x14ac:dyDescent="0.25">
      <c r="A113" t="s">
        <v>200</v>
      </c>
      <c r="B113">
        <v>7</v>
      </c>
      <c r="C113">
        <v>4</v>
      </c>
      <c r="D113">
        <v>16</v>
      </c>
      <c r="E113" t="s">
        <v>46</v>
      </c>
      <c r="F113" t="s">
        <v>40</v>
      </c>
      <c r="G113">
        <v>4</v>
      </c>
      <c r="H113">
        <f>stimuli_table[[#This Row],[n_colour1_right]]+stimuli_table[[#This Row],[n_colour2_right]]</f>
        <v>6</v>
      </c>
      <c r="I113" t="s">
        <v>27</v>
      </c>
      <c r="J113" t="s">
        <v>82</v>
      </c>
      <c r="K113" t="s">
        <v>29</v>
      </c>
      <c r="L113" t="s">
        <v>87</v>
      </c>
      <c r="M113" t="s">
        <v>41</v>
      </c>
      <c r="N113" s="2">
        <v>1</v>
      </c>
      <c r="O113" t="s">
        <v>32</v>
      </c>
      <c r="P113" t="s">
        <v>50</v>
      </c>
      <c r="Q113" t="s">
        <v>48</v>
      </c>
      <c r="R113">
        <v>3</v>
      </c>
      <c r="S113" t="s">
        <v>84</v>
      </c>
      <c r="T113">
        <v>1</v>
      </c>
      <c r="U113" t="s">
        <v>27</v>
      </c>
      <c r="V113" t="s">
        <v>48</v>
      </c>
      <c r="W113">
        <v>6</v>
      </c>
      <c r="X113" t="s">
        <v>84</v>
      </c>
      <c r="Y113">
        <v>0</v>
      </c>
    </row>
    <row r="114" spans="1:25" x14ac:dyDescent="0.25">
      <c r="A114" t="s">
        <v>200</v>
      </c>
      <c r="B114">
        <v>8</v>
      </c>
      <c r="C114">
        <v>1</v>
      </c>
      <c r="D114">
        <v>1</v>
      </c>
      <c r="E114" t="s">
        <v>25</v>
      </c>
      <c r="F114" t="s">
        <v>26</v>
      </c>
      <c r="G114">
        <v>3</v>
      </c>
      <c r="H114">
        <f>stimuli_table[[#This Row],[n_colour1_right]]+stimuli_table[[#This Row],[n_colour2_right]]</f>
        <v>5</v>
      </c>
      <c r="I114" t="s">
        <v>33</v>
      </c>
      <c r="J114" t="s">
        <v>56</v>
      </c>
      <c r="K114" t="s">
        <v>29</v>
      </c>
      <c r="L114" t="s">
        <v>88</v>
      </c>
      <c r="M114" t="s">
        <v>31</v>
      </c>
      <c r="N114" s="4">
        <v>4</v>
      </c>
      <c r="O114" t="s">
        <v>32</v>
      </c>
      <c r="P114" t="s">
        <v>36</v>
      </c>
      <c r="Q114" t="s">
        <v>58</v>
      </c>
      <c r="R114">
        <v>4</v>
      </c>
      <c r="S114" t="s">
        <v>34</v>
      </c>
      <c r="T114">
        <v>4</v>
      </c>
      <c r="U114" t="s">
        <v>52</v>
      </c>
      <c r="V114" t="s">
        <v>58</v>
      </c>
      <c r="W114">
        <v>3</v>
      </c>
      <c r="X114" t="s">
        <v>34</v>
      </c>
      <c r="Y114">
        <v>2</v>
      </c>
    </row>
    <row r="115" spans="1:25" x14ac:dyDescent="0.25">
      <c r="A115" t="s">
        <v>200</v>
      </c>
      <c r="B115">
        <v>8</v>
      </c>
      <c r="C115">
        <v>2</v>
      </c>
      <c r="D115">
        <v>2</v>
      </c>
      <c r="E115" t="s">
        <v>25</v>
      </c>
      <c r="F115" t="s">
        <v>37</v>
      </c>
      <c r="G115">
        <v>3</v>
      </c>
      <c r="H115">
        <f>stimuli_table[[#This Row],[n_colour1_right]]+stimuli_table[[#This Row],[n_colour2_right]]</f>
        <v>5</v>
      </c>
      <c r="I115" t="s">
        <v>33</v>
      </c>
      <c r="J115" t="s">
        <v>56</v>
      </c>
      <c r="K115" t="s">
        <v>29</v>
      </c>
      <c r="L115" t="s">
        <v>88</v>
      </c>
      <c r="M115" t="s">
        <v>38</v>
      </c>
      <c r="N115" s="4">
        <v>1</v>
      </c>
      <c r="O115" t="s">
        <v>32</v>
      </c>
      <c r="P115" t="s">
        <v>36</v>
      </c>
      <c r="Q115" t="s">
        <v>58</v>
      </c>
      <c r="R115">
        <v>4</v>
      </c>
      <c r="S115" t="s">
        <v>34</v>
      </c>
      <c r="T115">
        <v>4</v>
      </c>
      <c r="U115" t="s">
        <v>33</v>
      </c>
      <c r="V115" t="s">
        <v>58</v>
      </c>
      <c r="W115">
        <v>0</v>
      </c>
      <c r="X115" t="s">
        <v>34</v>
      </c>
      <c r="Y115">
        <v>5</v>
      </c>
    </row>
    <row r="116" spans="1:25" x14ac:dyDescent="0.25">
      <c r="A116" t="s">
        <v>200</v>
      </c>
      <c r="B116">
        <v>8</v>
      </c>
      <c r="C116">
        <v>3</v>
      </c>
      <c r="D116">
        <v>3</v>
      </c>
      <c r="E116" t="s">
        <v>25</v>
      </c>
      <c r="F116" t="s">
        <v>39</v>
      </c>
      <c r="G116">
        <v>3</v>
      </c>
      <c r="H116">
        <f>stimuli_table[[#This Row],[n_colour1_right]]+stimuli_table[[#This Row],[n_colour2_right]]</f>
        <v>5</v>
      </c>
      <c r="I116" t="s">
        <v>33</v>
      </c>
      <c r="J116" t="s">
        <v>56</v>
      </c>
      <c r="K116" t="s">
        <v>29</v>
      </c>
      <c r="L116" t="s">
        <v>88</v>
      </c>
      <c r="M116" t="s">
        <v>38</v>
      </c>
      <c r="N116" s="4">
        <v>2</v>
      </c>
      <c r="O116" t="s">
        <v>32</v>
      </c>
      <c r="P116" t="s">
        <v>36</v>
      </c>
      <c r="Q116" t="s">
        <v>58</v>
      </c>
      <c r="R116">
        <v>4</v>
      </c>
      <c r="S116" t="s">
        <v>34</v>
      </c>
      <c r="T116">
        <v>4</v>
      </c>
      <c r="U116" t="s">
        <v>33</v>
      </c>
      <c r="V116" t="s">
        <v>58</v>
      </c>
      <c r="W116">
        <v>2</v>
      </c>
      <c r="X116" t="s">
        <v>34</v>
      </c>
      <c r="Y116">
        <v>3</v>
      </c>
    </row>
    <row r="117" spans="1:25" x14ac:dyDescent="0.25">
      <c r="A117" t="s">
        <v>200</v>
      </c>
      <c r="B117">
        <v>8</v>
      </c>
      <c r="C117">
        <v>4</v>
      </c>
      <c r="D117">
        <v>4</v>
      </c>
      <c r="E117" t="s">
        <v>25</v>
      </c>
      <c r="F117" t="s">
        <v>40</v>
      </c>
      <c r="G117">
        <v>3</v>
      </c>
      <c r="H117">
        <f>stimuli_table[[#This Row],[n_colour1_right]]+stimuli_table[[#This Row],[n_colour2_right]]</f>
        <v>5</v>
      </c>
      <c r="I117" t="s">
        <v>33</v>
      </c>
      <c r="J117" t="s">
        <v>56</v>
      </c>
      <c r="K117" t="s">
        <v>29</v>
      </c>
      <c r="L117" t="s">
        <v>88</v>
      </c>
      <c r="M117" t="s">
        <v>41</v>
      </c>
      <c r="N117" s="4">
        <v>3</v>
      </c>
      <c r="O117" t="s">
        <v>32</v>
      </c>
      <c r="P117" t="s">
        <v>36</v>
      </c>
      <c r="Q117" t="s">
        <v>58</v>
      </c>
      <c r="R117">
        <v>4</v>
      </c>
      <c r="S117" t="s">
        <v>34</v>
      </c>
      <c r="T117">
        <v>4</v>
      </c>
      <c r="U117" t="s">
        <v>33</v>
      </c>
      <c r="V117" t="s">
        <v>58</v>
      </c>
      <c r="W117">
        <v>5</v>
      </c>
      <c r="X117" t="s">
        <v>34</v>
      </c>
      <c r="Y117">
        <v>0</v>
      </c>
    </row>
    <row r="118" spans="1:25" x14ac:dyDescent="0.25">
      <c r="A118" t="s">
        <v>200</v>
      </c>
      <c r="B118">
        <v>8</v>
      </c>
      <c r="C118">
        <v>1</v>
      </c>
      <c r="D118">
        <v>5</v>
      </c>
      <c r="E118" t="s">
        <v>42</v>
      </c>
      <c r="F118" t="s">
        <v>26</v>
      </c>
      <c r="G118">
        <v>3</v>
      </c>
      <c r="H118">
        <f>stimuli_table[[#This Row],[n_colour1_right]]+stimuli_table[[#This Row],[n_colour2_right]]</f>
        <v>5</v>
      </c>
      <c r="I118" t="s">
        <v>33</v>
      </c>
      <c r="J118" t="s">
        <v>56</v>
      </c>
      <c r="K118" t="s">
        <v>29</v>
      </c>
      <c r="L118" t="s">
        <v>89</v>
      </c>
      <c r="M118" t="s">
        <v>31</v>
      </c>
      <c r="N118" s="1">
        <v>1</v>
      </c>
      <c r="O118" t="s">
        <v>32</v>
      </c>
      <c r="P118" t="s">
        <v>36</v>
      </c>
      <c r="Q118" t="s">
        <v>58</v>
      </c>
      <c r="R118">
        <v>4</v>
      </c>
      <c r="S118" t="s">
        <v>34</v>
      </c>
      <c r="T118">
        <v>4</v>
      </c>
      <c r="U118" t="s">
        <v>52</v>
      </c>
      <c r="V118" t="s">
        <v>58</v>
      </c>
      <c r="W118">
        <v>3</v>
      </c>
      <c r="X118" t="s">
        <v>34</v>
      </c>
      <c r="Y118">
        <v>2</v>
      </c>
    </row>
    <row r="119" spans="1:25" x14ac:dyDescent="0.25">
      <c r="A119" t="s">
        <v>200</v>
      </c>
      <c r="B119">
        <v>8</v>
      </c>
      <c r="C119">
        <v>2</v>
      </c>
      <c r="D119">
        <v>6</v>
      </c>
      <c r="E119" t="s">
        <v>42</v>
      </c>
      <c r="F119" t="s">
        <v>37</v>
      </c>
      <c r="G119">
        <v>3</v>
      </c>
      <c r="H119">
        <f>stimuli_table[[#This Row],[n_colour1_right]]+stimuli_table[[#This Row],[n_colour2_right]]</f>
        <v>5</v>
      </c>
      <c r="I119" t="s">
        <v>33</v>
      </c>
      <c r="J119" t="s">
        <v>56</v>
      </c>
      <c r="K119" t="s">
        <v>29</v>
      </c>
      <c r="L119" t="s">
        <v>89</v>
      </c>
      <c r="M119" t="s">
        <v>41</v>
      </c>
      <c r="N119" s="1">
        <v>2</v>
      </c>
      <c r="O119" t="s">
        <v>32</v>
      </c>
      <c r="P119" t="s">
        <v>36</v>
      </c>
      <c r="Q119" t="s">
        <v>58</v>
      </c>
      <c r="R119">
        <v>4</v>
      </c>
      <c r="S119" t="s">
        <v>34</v>
      </c>
      <c r="T119">
        <v>4</v>
      </c>
      <c r="U119" t="s">
        <v>33</v>
      </c>
      <c r="V119" t="s">
        <v>58</v>
      </c>
      <c r="W119">
        <v>0</v>
      </c>
      <c r="X119" t="s">
        <v>34</v>
      </c>
      <c r="Y119">
        <v>5</v>
      </c>
    </row>
    <row r="120" spans="1:25" x14ac:dyDescent="0.25">
      <c r="A120" t="s">
        <v>200</v>
      </c>
      <c r="B120">
        <v>8</v>
      </c>
      <c r="C120">
        <v>3</v>
      </c>
      <c r="D120">
        <v>7</v>
      </c>
      <c r="E120" t="s">
        <v>42</v>
      </c>
      <c r="F120" t="s">
        <v>39</v>
      </c>
      <c r="G120">
        <v>3</v>
      </c>
      <c r="H120">
        <f>stimuli_table[[#This Row],[n_colour1_right]]+stimuli_table[[#This Row],[n_colour2_right]]</f>
        <v>5</v>
      </c>
      <c r="I120" t="s">
        <v>33</v>
      </c>
      <c r="J120" t="s">
        <v>56</v>
      </c>
      <c r="K120" t="s">
        <v>29</v>
      </c>
      <c r="L120" t="s">
        <v>89</v>
      </c>
      <c r="M120" t="s">
        <v>41</v>
      </c>
      <c r="N120" s="1">
        <v>3</v>
      </c>
      <c r="O120" t="s">
        <v>32</v>
      </c>
      <c r="P120" t="s">
        <v>36</v>
      </c>
      <c r="Q120" t="s">
        <v>58</v>
      </c>
      <c r="R120">
        <v>4</v>
      </c>
      <c r="S120" t="s">
        <v>34</v>
      </c>
      <c r="T120">
        <v>4</v>
      </c>
      <c r="U120" t="s">
        <v>33</v>
      </c>
      <c r="V120" t="s">
        <v>58</v>
      </c>
      <c r="W120">
        <v>2</v>
      </c>
      <c r="X120" t="s">
        <v>34</v>
      </c>
      <c r="Y120">
        <v>3</v>
      </c>
    </row>
    <row r="121" spans="1:25" x14ac:dyDescent="0.25">
      <c r="A121" t="s">
        <v>200</v>
      </c>
      <c r="B121">
        <v>8</v>
      </c>
      <c r="C121">
        <v>4</v>
      </c>
      <c r="D121">
        <v>8</v>
      </c>
      <c r="E121" t="s">
        <v>42</v>
      </c>
      <c r="F121" t="s">
        <v>40</v>
      </c>
      <c r="G121">
        <v>3</v>
      </c>
      <c r="H121">
        <f>stimuli_table[[#This Row],[n_colour1_right]]+stimuli_table[[#This Row],[n_colour2_right]]</f>
        <v>5</v>
      </c>
      <c r="I121" t="s">
        <v>33</v>
      </c>
      <c r="J121" t="s">
        <v>56</v>
      </c>
      <c r="K121" t="s">
        <v>29</v>
      </c>
      <c r="L121" t="s">
        <v>89</v>
      </c>
      <c r="M121" t="s">
        <v>38</v>
      </c>
      <c r="N121" s="1">
        <v>4</v>
      </c>
      <c r="O121" t="s">
        <v>32</v>
      </c>
      <c r="P121" t="s">
        <v>36</v>
      </c>
      <c r="Q121" t="s">
        <v>58</v>
      </c>
      <c r="R121">
        <v>4</v>
      </c>
      <c r="S121" t="s">
        <v>34</v>
      </c>
      <c r="T121">
        <v>4</v>
      </c>
      <c r="U121" t="s">
        <v>33</v>
      </c>
      <c r="V121" t="s">
        <v>58</v>
      </c>
      <c r="W121">
        <v>5</v>
      </c>
      <c r="X121" t="s">
        <v>34</v>
      </c>
      <c r="Y121">
        <v>0</v>
      </c>
    </row>
    <row r="122" spans="1:25" x14ac:dyDescent="0.25">
      <c r="A122" t="s">
        <v>200</v>
      </c>
      <c r="B122">
        <v>8</v>
      </c>
      <c r="C122">
        <v>1</v>
      </c>
      <c r="D122">
        <v>9</v>
      </c>
      <c r="E122" t="s">
        <v>44</v>
      </c>
      <c r="F122" t="s">
        <v>26</v>
      </c>
      <c r="G122">
        <v>3</v>
      </c>
      <c r="H122">
        <f>stimuli_table[[#This Row],[n_colour1_right]]+stimuli_table[[#This Row],[n_colour2_right]]</f>
        <v>5</v>
      </c>
      <c r="I122" t="s">
        <v>33</v>
      </c>
      <c r="J122" t="s">
        <v>56</v>
      </c>
      <c r="K122" t="s">
        <v>29</v>
      </c>
      <c r="L122" t="s">
        <v>90</v>
      </c>
      <c r="M122" t="s">
        <v>31</v>
      </c>
      <c r="N122" s="2">
        <v>2</v>
      </c>
      <c r="O122" t="s">
        <v>32</v>
      </c>
      <c r="P122" t="s">
        <v>36</v>
      </c>
      <c r="Q122" t="s">
        <v>58</v>
      </c>
      <c r="R122">
        <v>4</v>
      </c>
      <c r="S122" t="s">
        <v>34</v>
      </c>
      <c r="T122">
        <v>4</v>
      </c>
      <c r="U122" t="s">
        <v>52</v>
      </c>
      <c r="V122" t="s">
        <v>58</v>
      </c>
      <c r="W122">
        <v>3</v>
      </c>
      <c r="X122" t="s">
        <v>34</v>
      </c>
      <c r="Y122">
        <v>2</v>
      </c>
    </row>
    <row r="123" spans="1:25" x14ac:dyDescent="0.25">
      <c r="A123" t="s">
        <v>200</v>
      </c>
      <c r="B123">
        <v>8</v>
      </c>
      <c r="C123">
        <v>2</v>
      </c>
      <c r="D123">
        <v>10</v>
      </c>
      <c r="E123" t="s">
        <v>44</v>
      </c>
      <c r="F123" t="s">
        <v>37</v>
      </c>
      <c r="G123">
        <v>3</v>
      </c>
      <c r="H123">
        <f>stimuli_table[[#This Row],[n_colour1_right]]+stimuli_table[[#This Row],[n_colour2_right]]</f>
        <v>5</v>
      </c>
      <c r="I123" t="s">
        <v>33</v>
      </c>
      <c r="J123" t="s">
        <v>56</v>
      </c>
      <c r="K123" t="s">
        <v>29</v>
      </c>
      <c r="L123" t="s">
        <v>90</v>
      </c>
      <c r="M123" t="s">
        <v>41</v>
      </c>
      <c r="N123" s="2">
        <v>3</v>
      </c>
      <c r="O123" t="s">
        <v>32</v>
      </c>
      <c r="P123" t="s">
        <v>36</v>
      </c>
      <c r="Q123" t="s">
        <v>58</v>
      </c>
      <c r="R123">
        <v>4</v>
      </c>
      <c r="S123" t="s">
        <v>34</v>
      </c>
      <c r="T123">
        <v>4</v>
      </c>
      <c r="U123" t="s">
        <v>33</v>
      </c>
      <c r="V123" t="s">
        <v>58</v>
      </c>
      <c r="W123">
        <v>0</v>
      </c>
      <c r="X123" t="s">
        <v>34</v>
      </c>
      <c r="Y123">
        <v>5</v>
      </c>
    </row>
    <row r="124" spans="1:25" x14ac:dyDescent="0.25">
      <c r="A124" t="s">
        <v>200</v>
      </c>
      <c r="B124">
        <v>8</v>
      </c>
      <c r="C124">
        <v>3</v>
      </c>
      <c r="D124">
        <v>11</v>
      </c>
      <c r="E124" t="s">
        <v>44</v>
      </c>
      <c r="F124" t="s">
        <v>39</v>
      </c>
      <c r="G124">
        <v>3</v>
      </c>
      <c r="H124">
        <f>stimuli_table[[#This Row],[n_colour1_right]]+stimuli_table[[#This Row],[n_colour2_right]]</f>
        <v>5</v>
      </c>
      <c r="I124" t="s">
        <v>33</v>
      </c>
      <c r="J124" t="s">
        <v>56</v>
      </c>
      <c r="K124" t="s">
        <v>29</v>
      </c>
      <c r="L124" t="s">
        <v>90</v>
      </c>
      <c r="M124" t="s">
        <v>41</v>
      </c>
      <c r="N124" s="2">
        <v>4</v>
      </c>
      <c r="O124" t="s">
        <v>32</v>
      </c>
      <c r="P124" t="s">
        <v>36</v>
      </c>
      <c r="Q124" t="s">
        <v>58</v>
      </c>
      <c r="R124">
        <v>4</v>
      </c>
      <c r="S124" t="s">
        <v>34</v>
      </c>
      <c r="T124">
        <v>4</v>
      </c>
      <c r="U124" t="s">
        <v>33</v>
      </c>
      <c r="V124" t="s">
        <v>58</v>
      </c>
      <c r="W124">
        <v>2</v>
      </c>
      <c r="X124" t="s">
        <v>34</v>
      </c>
      <c r="Y124">
        <v>3</v>
      </c>
    </row>
    <row r="125" spans="1:25" x14ac:dyDescent="0.25">
      <c r="A125" t="s">
        <v>200</v>
      </c>
      <c r="B125">
        <v>8</v>
      </c>
      <c r="C125">
        <v>4</v>
      </c>
      <c r="D125">
        <v>12</v>
      </c>
      <c r="E125" t="s">
        <v>44</v>
      </c>
      <c r="F125" t="s">
        <v>40</v>
      </c>
      <c r="G125">
        <v>3</v>
      </c>
      <c r="H125">
        <f>stimuli_table[[#This Row],[n_colour1_right]]+stimuli_table[[#This Row],[n_colour2_right]]</f>
        <v>5</v>
      </c>
      <c r="I125" t="s">
        <v>33</v>
      </c>
      <c r="J125" t="s">
        <v>56</v>
      </c>
      <c r="K125" t="s">
        <v>29</v>
      </c>
      <c r="L125" t="s">
        <v>90</v>
      </c>
      <c r="M125" t="s">
        <v>38</v>
      </c>
      <c r="N125" s="2">
        <v>1</v>
      </c>
      <c r="O125" t="s">
        <v>32</v>
      </c>
      <c r="P125" t="s">
        <v>36</v>
      </c>
      <c r="Q125" t="s">
        <v>58</v>
      </c>
      <c r="R125">
        <v>4</v>
      </c>
      <c r="S125" t="s">
        <v>34</v>
      </c>
      <c r="T125">
        <v>4</v>
      </c>
      <c r="U125" t="s">
        <v>33</v>
      </c>
      <c r="V125" t="s">
        <v>58</v>
      </c>
      <c r="W125">
        <v>5</v>
      </c>
      <c r="X125" t="s">
        <v>34</v>
      </c>
      <c r="Y125">
        <v>0</v>
      </c>
    </row>
    <row r="126" spans="1:25" x14ac:dyDescent="0.25">
      <c r="A126" t="s">
        <v>200</v>
      </c>
      <c r="B126">
        <v>8</v>
      </c>
      <c r="C126">
        <v>1</v>
      </c>
      <c r="D126">
        <v>13</v>
      </c>
      <c r="E126" t="s">
        <v>46</v>
      </c>
      <c r="F126" t="s">
        <v>26</v>
      </c>
      <c r="G126">
        <v>3</v>
      </c>
      <c r="H126">
        <f>stimuli_table[[#This Row],[n_colour1_right]]+stimuli_table[[#This Row],[n_colour2_right]]</f>
        <v>5</v>
      </c>
      <c r="I126" t="s">
        <v>33</v>
      </c>
      <c r="J126" t="s">
        <v>56</v>
      </c>
      <c r="K126" t="s">
        <v>29</v>
      </c>
      <c r="L126" t="s">
        <v>91</v>
      </c>
      <c r="M126" t="s">
        <v>31</v>
      </c>
      <c r="N126" s="3">
        <v>3</v>
      </c>
      <c r="O126" t="s">
        <v>32</v>
      </c>
      <c r="P126" t="s">
        <v>36</v>
      </c>
      <c r="Q126" t="s">
        <v>58</v>
      </c>
      <c r="R126">
        <v>4</v>
      </c>
      <c r="S126" t="s">
        <v>34</v>
      </c>
      <c r="T126">
        <v>4</v>
      </c>
      <c r="U126" t="s">
        <v>52</v>
      </c>
      <c r="V126" t="s">
        <v>58</v>
      </c>
      <c r="W126">
        <v>3</v>
      </c>
      <c r="X126" t="s">
        <v>34</v>
      </c>
      <c r="Y126">
        <v>2</v>
      </c>
    </row>
    <row r="127" spans="1:25" x14ac:dyDescent="0.25">
      <c r="A127" t="s">
        <v>200</v>
      </c>
      <c r="B127">
        <v>8</v>
      </c>
      <c r="C127">
        <v>2</v>
      </c>
      <c r="D127">
        <v>14</v>
      </c>
      <c r="E127" t="s">
        <v>46</v>
      </c>
      <c r="F127" t="s">
        <v>37</v>
      </c>
      <c r="G127">
        <v>3</v>
      </c>
      <c r="H127">
        <f>stimuli_table[[#This Row],[n_colour1_right]]+stimuli_table[[#This Row],[n_colour2_right]]</f>
        <v>5</v>
      </c>
      <c r="I127" t="s">
        <v>33</v>
      </c>
      <c r="J127" t="s">
        <v>56</v>
      </c>
      <c r="K127" t="s">
        <v>29</v>
      </c>
      <c r="L127" t="s">
        <v>91</v>
      </c>
      <c r="M127" t="s">
        <v>38</v>
      </c>
      <c r="N127" s="3">
        <v>4</v>
      </c>
      <c r="O127" t="s">
        <v>32</v>
      </c>
      <c r="P127" t="s">
        <v>36</v>
      </c>
      <c r="Q127" t="s">
        <v>58</v>
      </c>
      <c r="R127">
        <v>4</v>
      </c>
      <c r="S127" t="s">
        <v>34</v>
      </c>
      <c r="T127">
        <v>4</v>
      </c>
      <c r="U127" t="s">
        <v>33</v>
      </c>
      <c r="V127" t="s">
        <v>58</v>
      </c>
      <c r="W127">
        <v>0</v>
      </c>
      <c r="X127" t="s">
        <v>34</v>
      </c>
      <c r="Y127">
        <v>5</v>
      </c>
    </row>
    <row r="128" spans="1:25" x14ac:dyDescent="0.25">
      <c r="A128" t="s">
        <v>200</v>
      </c>
      <c r="B128">
        <v>8</v>
      </c>
      <c r="C128">
        <v>3</v>
      </c>
      <c r="D128">
        <v>15</v>
      </c>
      <c r="E128" t="s">
        <v>46</v>
      </c>
      <c r="F128" t="s">
        <v>39</v>
      </c>
      <c r="G128">
        <v>3</v>
      </c>
      <c r="H128">
        <f>stimuli_table[[#This Row],[n_colour1_right]]+stimuli_table[[#This Row],[n_colour2_right]]</f>
        <v>5</v>
      </c>
      <c r="I128" t="s">
        <v>33</v>
      </c>
      <c r="J128" t="s">
        <v>56</v>
      </c>
      <c r="K128" t="s">
        <v>29</v>
      </c>
      <c r="L128" t="s">
        <v>91</v>
      </c>
      <c r="M128" t="s">
        <v>41</v>
      </c>
      <c r="N128" s="3">
        <v>1</v>
      </c>
      <c r="O128" t="s">
        <v>32</v>
      </c>
      <c r="P128" t="s">
        <v>36</v>
      </c>
      <c r="Q128" t="s">
        <v>58</v>
      </c>
      <c r="R128">
        <v>4</v>
      </c>
      <c r="S128" t="s">
        <v>34</v>
      </c>
      <c r="T128">
        <v>4</v>
      </c>
      <c r="U128" t="s">
        <v>33</v>
      </c>
      <c r="V128" t="s">
        <v>58</v>
      </c>
      <c r="W128">
        <v>2</v>
      </c>
      <c r="X128" t="s">
        <v>34</v>
      </c>
      <c r="Y128">
        <v>3</v>
      </c>
    </row>
    <row r="129" spans="1:25" x14ac:dyDescent="0.25">
      <c r="A129" t="s">
        <v>200</v>
      </c>
      <c r="B129">
        <v>8</v>
      </c>
      <c r="C129">
        <v>4</v>
      </c>
      <c r="D129">
        <v>16</v>
      </c>
      <c r="E129" t="s">
        <v>46</v>
      </c>
      <c r="F129" t="s">
        <v>40</v>
      </c>
      <c r="G129">
        <v>3</v>
      </c>
      <c r="H129">
        <f>stimuli_table[[#This Row],[n_colour1_right]]+stimuli_table[[#This Row],[n_colour2_right]]</f>
        <v>5</v>
      </c>
      <c r="I129" t="s">
        <v>33</v>
      </c>
      <c r="J129" t="s">
        <v>56</v>
      </c>
      <c r="K129" t="s">
        <v>29</v>
      </c>
      <c r="L129" t="s">
        <v>91</v>
      </c>
      <c r="M129" t="s">
        <v>41</v>
      </c>
      <c r="N129" s="3">
        <v>2</v>
      </c>
      <c r="O129" t="s">
        <v>32</v>
      </c>
      <c r="P129" t="s">
        <v>36</v>
      </c>
      <c r="Q129" t="s">
        <v>58</v>
      </c>
      <c r="R129">
        <v>4</v>
      </c>
      <c r="S129" t="s">
        <v>34</v>
      </c>
      <c r="T129">
        <v>4</v>
      </c>
      <c r="U129" t="s">
        <v>33</v>
      </c>
      <c r="V129" t="s">
        <v>58</v>
      </c>
      <c r="W129">
        <v>5</v>
      </c>
      <c r="X129" t="s">
        <v>34</v>
      </c>
      <c r="Y129">
        <v>0</v>
      </c>
    </row>
    <row r="130" spans="1:25" x14ac:dyDescent="0.25">
      <c r="A130" t="s">
        <v>200</v>
      </c>
      <c r="B130">
        <v>9</v>
      </c>
      <c r="C130">
        <v>1</v>
      </c>
      <c r="D130">
        <v>1</v>
      </c>
      <c r="E130" t="s">
        <v>25</v>
      </c>
      <c r="F130" t="s">
        <v>26</v>
      </c>
      <c r="G130">
        <v>4</v>
      </c>
      <c r="H130">
        <f>stimuli_table[[#This Row],[n_colour1_right]]+stimuli_table[[#This Row],[n_colour2_right]]</f>
        <v>7</v>
      </c>
      <c r="I130" t="s">
        <v>36</v>
      </c>
      <c r="J130" t="s">
        <v>92</v>
      </c>
      <c r="K130" t="s">
        <v>29</v>
      </c>
      <c r="L130" t="s">
        <v>93</v>
      </c>
      <c r="M130" t="s">
        <v>31</v>
      </c>
      <c r="N130" s="1">
        <v>1</v>
      </c>
      <c r="O130" t="s">
        <v>32</v>
      </c>
      <c r="P130" t="s">
        <v>27</v>
      </c>
      <c r="Q130" t="s">
        <v>35</v>
      </c>
      <c r="R130">
        <v>5</v>
      </c>
      <c r="S130" t="s">
        <v>72</v>
      </c>
      <c r="T130">
        <v>2</v>
      </c>
      <c r="U130" t="s">
        <v>33</v>
      </c>
      <c r="V130" t="s">
        <v>35</v>
      </c>
      <c r="W130">
        <v>3</v>
      </c>
      <c r="X130" t="s">
        <v>72</v>
      </c>
      <c r="Y130">
        <v>4</v>
      </c>
    </row>
    <row r="131" spans="1:25" x14ac:dyDescent="0.25">
      <c r="A131" t="s">
        <v>200</v>
      </c>
      <c r="B131">
        <v>9</v>
      </c>
      <c r="C131">
        <v>2</v>
      </c>
      <c r="D131">
        <v>2</v>
      </c>
      <c r="E131" t="s">
        <v>25</v>
      </c>
      <c r="F131" t="s">
        <v>37</v>
      </c>
      <c r="G131">
        <v>4</v>
      </c>
      <c r="H131">
        <f>stimuli_table[[#This Row],[n_colour1_right]]+stimuli_table[[#This Row],[n_colour2_right]]</f>
        <v>7</v>
      </c>
      <c r="I131" t="s">
        <v>36</v>
      </c>
      <c r="J131" t="s">
        <v>92</v>
      </c>
      <c r="K131" t="s">
        <v>29</v>
      </c>
      <c r="L131" t="s">
        <v>93</v>
      </c>
      <c r="M131" t="s">
        <v>38</v>
      </c>
      <c r="N131" s="1">
        <v>2</v>
      </c>
      <c r="O131" t="s">
        <v>32</v>
      </c>
      <c r="P131" t="s">
        <v>27</v>
      </c>
      <c r="Q131" t="s">
        <v>35</v>
      </c>
      <c r="R131">
        <v>5</v>
      </c>
      <c r="S131" t="s">
        <v>72</v>
      </c>
      <c r="T131">
        <v>2</v>
      </c>
      <c r="U131" t="s">
        <v>36</v>
      </c>
      <c r="V131" t="s">
        <v>35</v>
      </c>
      <c r="W131">
        <v>0</v>
      </c>
      <c r="X131" t="s">
        <v>72</v>
      </c>
      <c r="Y131">
        <v>7</v>
      </c>
    </row>
    <row r="132" spans="1:25" x14ac:dyDescent="0.25">
      <c r="A132" t="s">
        <v>200</v>
      </c>
      <c r="B132">
        <v>9</v>
      </c>
      <c r="C132">
        <v>3</v>
      </c>
      <c r="D132">
        <v>3</v>
      </c>
      <c r="E132" t="s">
        <v>25</v>
      </c>
      <c r="F132" t="s">
        <v>39</v>
      </c>
      <c r="G132">
        <v>4</v>
      </c>
      <c r="H132">
        <f>stimuli_table[[#This Row],[n_colour1_right]]+stimuli_table[[#This Row],[n_colour2_right]]</f>
        <v>7</v>
      </c>
      <c r="I132" t="s">
        <v>36</v>
      </c>
      <c r="J132" t="s">
        <v>92</v>
      </c>
      <c r="K132" t="s">
        <v>29</v>
      </c>
      <c r="L132" t="s">
        <v>93</v>
      </c>
      <c r="M132" t="s">
        <v>38</v>
      </c>
      <c r="N132" s="1">
        <v>3</v>
      </c>
      <c r="O132" t="s">
        <v>32</v>
      </c>
      <c r="P132" t="s">
        <v>27</v>
      </c>
      <c r="Q132" t="s">
        <v>35</v>
      </c>
      <c r="R132">
        <v>5</v>
      </c>
      <c r="S132" t="s">
        <v>72</v>
      </c>
      <c r="T132">
        <v>2</v>
      </c>
      <c r="U132" t="s">
        <v>36</v>
      </c>
      <c r="V132" t="s">
        <v>35</v>
      </c>
      <c r="W132">
        <v>1</v>
      </c>
      <c r="X132" t="s">
        <v>72</v>
      </c>
      <c r="Y132">
        <v>6</v>
      </c>
    </row>
    <row r="133" spans="1:25" x14ac:dyDescent="0.25">
      <c r="A133" t="s">
        <v>200</v>
      </c>
      <c r="B133">
        <v>9</v>
      </c>
      <c r="C133">
        <v>4</v>
      </c>
      <c r="D133">
        <v>4</v>
      </c>
      <c r="E133" t="s">
        <v>25</v>
      </c>
      <c r="F133" t="s">
        <v>40</v>
      </c>
      <c r="G133">
        <v>4</v>
      </c>
      <c r="H133">
        <f>stimuli_table[[#This Row],[n_colour1_right]]+stimuli_table[[#This Row],[n_colour2_right]]</f>
        <v>7</v>
      </c>
      <c r="I133" t="s">
        <v>36</v>
      </c>
      <c r="J133" t="s">
        <v>92</v>
      </c>
      <c r="K133" t="s">
        <v>29</v>
      </c>
      <c r="L133" t="s">
        <v>93</v>
      </c>
      <c r="M133" t="s">
        <v>41</v>
      </c>
      <c r="N133" s="1">
        <v>4</v>
      </c>
      <c r="O133" t="s">
        <v>32</v>
      </c>
      <c r="P133" t="s">
        <v>27</v>
      </c>
      <c r="Q133" t="s">
        <v>35</v>
      </c>
      <c r="R133">
        <v>5</v>
      </c>
      <c r="S133" t="s">
        <v>72</v>
      </c>
      <c r="T133">
        <v>2</v>
      </c>
      <c r="U133" t="s">
        <v>36</v>
      </c>
      <c r="V133" t="s">
        <v>35</v>
      </c>
      <c r="W133">
        <v>7</v>
      </c>
      <c r="X133" t="s">
        <v>72</v>
      </c>
      <c r="Y133">
        <v>0</v>
      </c>
    </row>
    <row r="134" spans="1:25" x14ac:dyDescent="0.25">
      <c r="A134" t="s">
        <v>200</v>
      </c>
      <c r="B134">
        <v>9</v>
      </c>
      <c r="C134">
        <v>1</v>
      </c>
      <c r="D134">
        <v>5</v>
      </c>
      <c r="E134" t="s">
        <v>42</v>
      </c>
      <c r="F134" t="s">
        <v>26</v>
      </c>
      <c r="G134">
        <v>4</v>
      </c>
      <c r="H134">
        <f>stimuli_table[[#This Row],[n_colour1_right]]+stimuli_table[[#This Row],[n_colour2_right]]</f>
        <v>7</v>
      </c>
      <c r="I134" t="s">
        <v>36</v>
      </c>
      <c r="J134" t="s">
        <v>92</v>
      </c>
      <c r="K134" t="s">
        <v>29</v>
      </c>
      <c r="L134" t="s">
        <v>94</v>
      </c>
      <c r="M134" t="s">
        <v>31</v>
      </c>
      <c r="N134" s="2">
        <v>2</v>
      </c>
      <c r="O134" t="s">
        <v>32</v>
      </c>
      <c r="P134" t="s">
        <v>27</v>
      </c>
      <c r="Q134" t="s">
        <v>35</v>
      </c>
      <c r="R134">
        <v>5</v>
      </c>
      <c r="S134" t="s">
        <v>72</v>
      </c>
      <c r="T134">
        <v>2</v>
      </c>
      <c r="U134" t="s">
        <v>33</v>
      </c>
      <c r="V134" t="s">
        <v>35</v>
      </c>
      <c r="W134">
        <v>3</v>
      </c>
      <c r="X134" t="s">
        <v>72</v>
      </c>
      <c r="Y134">
        <v>4</v>
      </c>
    </row>
    <row r="135" spans="1:25" x14ac:dyDescent="0.25">
      <c r="A135" t="s">
        <v>200</v>
      </c>
      <c r="B135">
        <v>9</v>
      </c>
      <c r="C135">
        <v>2</v>
      </c>
      <c r="D135">
        <v>6</v>
      </c>
      <c r="E135" t="s">
        <v>42</v>
      </c>
      <c r="F135" t="s">
        <v>37</v>
      </c>
      <c r="G135">
        <v>4</v>
      </c>
      <c r="H135">
        <f>stimuli_table[[#This Row],[n_colour1_right]]+stimuli_table[[#This Row],[n_colour2_right]]</f>
        <v>7</v>
      </c>
      <c r="I135" t="s">
        <v>36</v>
      </c>
      <c r="J135" t="s">
        <v>92</v>
      </c>
      <c r="K135" t="s">
        <v>29</v>
      </c>
      <c r="L135" t="s">
        <v>94</v>
      </c>
      <c r="M135" t="s">
        <v>41</v>
      </c>
      <c r="N135" s="2">
        <v>3</v>
      </c>
      <c r="O135" t="s">
        <v>32</v>
      </c>
      <c r="P135" t="s">
        <v>27</v>
      </c>
      <c r="Q135" t="s">
        <v>35</v>
      </c>
      <c r="R135">
        <v>5</v>
      </c>
      <c r="S135" t="s">
        <v>72</v>
      </c>
      <c r="T135">
        <v>2</v>
      </c>
      <c r="U135" t="s">
        <v>36</v>
      </c>
      <c r="V135" t="s">
        <v>35</v>
      </c>
      <c r="W135">
        <v>0</v>
      </c>
      <c r="X135" t="s">
        <v>72</v>
      </c>
      <c r="Y135">
        <v>7</v>
      </c>
    </row>
    <row r="136" spans="1:25" x14ac:dyDescent="0.25">
      <c r="A136" t="s">
        <v>200</v>
      </c>
      <c r="B136">
        <v>9</v>
      </c>
      <c r="C136">
        <v>3</v>
      </c>
      <c r="D136">
        <v>7</v>
      </c>
      <c r="E136" t="s">
        <v>42</v>
      </c>
      <c r="F136" t="s">
        <v>39</v>
      </c>
      <c r="G136">
        <v>4</v>
      </c>
      <c r="H136">
        <f>stimuli_table[[#This Row],[n_colour1_right]]+stimuli_table[[#This Row],[n_colour2_right]]</f>
        <v>7</v>
      </c>
      <c r="I136" t="s">
        <v>36</v>
      </c>
      <c r="J136" t="s">
        <v>92</v>
      </c>
      <c r="K136" t="s">
        <v>29</v>
      </c>
      <c r="L136" t="s">
        <v>94</v>
      </c>
      <c r="M136" t="s">
        <v>41</v>
      </c>
      <c r="N136" s="2">
        <v>4</v>
      </c>
      <c r="O136" t="s">
        <v>32</v>
      </c>
      <c r="P136" t="s">
        <v>27</v>
      </c>
      <c r="Q136" t="s">
        <v>35</v>
      </c>
      <c r="R136">
        <v>5</v>
      </c>
      <c r="S136" t="s">
        <v>72</v>
      </c>
      <c r="T136">
        <v>2</v>
      </c>
      <c r="U136" t="s">
        <v>36</v>
      </c>
      <c r="V136" t="s">
        <v>35</v>
      </c>
      <c r="W136">
        <v>1</v>
      </c>
      <c r="X136" t="s">
        <v>72</v>
      </c>
      <c r="Y136">
        <v>6</v>
      </c>
    </row>
    <row r="137" spans="1:25" x14ac:dyDescent="0.25">
      <c r="A137" t="s">
        <v>200</v>
      </c>
      <c r="B137">
        <v>9</v>
      </c>
      <c r="C137">
        <v>4</v>
      </c>
      <c r="D137">
        <v>8</v>
      </c>
      <c r="E137" t="s">
        <v>42</v>
      </c>
      <c r="F137" t="s">
        <v>40</v>
      </c>
      <c r="G137">
        <v>4</v>
      </c>
      <c r="H137">
        <f>stimuli_table[[#This Row],[n_colour1_right]]+stimuli_table[[#This Row],[n_colour2_right]]</f>
        <v>7</v>
      </c>
      <c r="I137" t="s">
        <v>36</v>
      </c>
      <c r="J137" t="s">
        <v>92</v>
      </c>
      <c r="K137" t="s">
        <v>29</v>
      </c>
      <c r="L137" t="s">
        <v>94</v>
      </c>
      <c r="M137" t="s">
        <v>38</v>
      </c>
      <c r="N137" s="2">
        <v>1</v>
      </c>
      <c r="O137" t="s">
        <v>32</v>
      </c>
      <c r="P137" t="s">
        <v>27</v>
      </c>
      <c r="Q137" t="s">
        <v>35</v>
      </c>
      <c r="R137">
        <v>5</v>
      </c>
      <c r="S137" t="s">
        <v>72</v>
      </c>
      <c r="T137">
        <v>2</v>
      </c>
      <c r="U137" t="s">
        <v>36</v>
      </c>
      <c r="V137" t="s">
        <v>35</v>
      </c>
      <c r="W137">
        <v>7</v>
      </c>
      <c r="X137" t="s">
        <v>72</v>
      </c>
      <c r="Y137">
        <v>0</v>
      </c>
    </row>
    <row r="138" spans="1:25" x14ac:dyDescent="0.25">
      <c r="A138" t="s">
        <v>200</v>
      </c>
      <c r="B138">
        <v>9</v>
      </c>
      <c r="C138">
        <v>1</v>
      </c>
      <c r="D138">
        <v>9</v>
      </c>
      <c r="E138" t="s">
        <v>44</v>
      </c>
      <c r="F138" t="s">
        <v>26</v>
      </c>
      <c r="G138">
        <v>4</v>
      </c>
      <c r="H138">
        <f>stimuli_table[[#This Row],[n_colour1_right]]+stimuli_table[[#This Row],[n_colour2_right]]</f>
        <v>7</v>
      </c>
      <c r="I138" t="s">
        <v>36</v>
      </c>
      <c r="J138" t="s">
        <v>92</v>
      </c>
      <c r="K138" t="s">
        <v>29</v>
      </c>
      <c r="L138" t="s">
        <v>95</v>
      </c>
      <c r="M138" t="s">
        <v>31</v>
      </c>
      <c r="N138" s="3">
        <v>3</v>
      </c>
      <c r="O138" t="s">
        <v>32</v>
      </c>
      <c r="P138" t="s">
        <v>27</v>
      </c>
      <c r="Q138" t="s">
        <v>35</v>
      </c>
      <c r="R138">
        <v>5</v>
      </c>
      <c r="S138" t="s">
        <v>72</v>
      </c>
      <c r="T138">
        <v>2</v>
      </c>
      <c r="U138" t="s">
        <v>33</v>
      </c>
      <c r="V138" t="s">
        <v>35</v>
      </c>
      <c r="W138">
        <v>3</v>
      </c>
      <c r="X138" t="s">
        <v>72</v>
      </c>
      <c r="Y138">
        <v>4</v>
      </c>
    </row>
    <row r="139" spans="1:25" x14ac:dyDescent="0.25">
      <c r="A139" t="s">
        <v>200</v>
      </c>
      <c r="B139">
        <v>9</v>
      </c>
      <c r="C139">
        <v>2</v>
      </c>
      <c r="D139">
        <v>10</v>
      </c>
      <c r="E139" t="s">
        <v>44</v>
      </c>
      <c r="F139" t="s">
        <v>37</v>
      </c>
      <c r="G139">
        <v>4</v>
      </c>
      <c r="H139">
        <f>stimuli_table[[#This Row],[n_colour1_right]]+stimuli_table[[#This Row],[n_colour2_right]]</f>
        <v>7</v>
      </c>
      <c r="I139" t="s">
        <v>36</v>
      </c>
      <c r="J139" t="s">
        <v>92</v>
      </c>
      <c r="K139" t="s">
        <v>29</v>
      </c>
      <c r="L139" t="s">
        <v>95</v>
      </c>
      <c r="M139" t="s">
        <v>41</v>
      </c>
      <c r="N139" s="3">
        <v>4</v>
      </c>
      <c r="O139" t="s">
        <v>32</v>
      </c>
      <c r="P139" t="s">
        <v>27</v>
      </c>
      <c r="Q139" t="s">
        <v>35</v>
      </c>
      <c r="R139">
        <v>5</v>
      </c>
      <c r="S139" t="s">
        <v>72</v>
      </c>
      <c r="T139">
        <v>2</v>
      </c>
      <c r="U139" t="s">
        <v>36</v>
      </c>
      <c r="V139" t="s">
        <v>35</v>
      </c>
      <c r="W139">
        <v>0</v>
      </c>
      <c r="X139" t="s">
        <v>72</v>
      </c>
      <c r="Y139">
        <v>7</v>
      </c>
    </row>
    <row r="140" spans="1:25" x14ac:dyDescent="0.25">
      <c r="A140" t="s">
        <v>200</v>
      </c>
      <c r="B140">
        <v>9</v>
      </c>
      <c r="C140">
        <v>3</v>
      </c>
      <c r="D140">
        <v>11</v>
      </c>
      <c r="E140" t="s">
        <v>44</v>
      </c>
      <c r="F140" t="s">
        <v>39</v>
      </c>
      <c r="G140">
        <v>4</v>
      </c>
      <c r="H140">
        <f>stimuli_table[[#This Row],[n_colour1_right]]+stimuli_table[[#This Row],[n_colour2_right]]</f>
        <v>7</v>
      </c>
      <c r="I140" t="s">
        <v>36</v>
      </c>
      <c r="J140" t="s">
        <v>92</v>
      </c>
      <c r="K140" t="s">
        <v>29</v>
      </c>
      <c r="L140" t="s">
        <v>95</v>
      </c>
      <c r="M140" t="s">
        <v>41</v>
      </c>
      <c r="N140" s="3">
        <v>1</v>
      </c>
      <c r="O140" t="s">
        <v>32</v>
      </c>
      <c r="P140" t="s">
        <v>27</v>
      </c>
      <c r="Q140" t="s">
        <v>35</v>
      </c>
      <c r="R140">
        <v>5</v>
      </c>
      <c r="S140" t="s">
        <v>72</v>
      </c>
      <c r="T140">
        <v>2</v>
      </c>
      <c r="U140" t="s">
        <v>36</v>
      </c>
      <c r="V140" t="s">
        <v>35</v>
      </c>
      <c r="W140">
        <v>1</v>
      </c>
      <c r="X140" t="s">
        <v>72</v>
      </c>
      <c r="Y140">
        <v>6</v>
      </c>
    </row>
    <row r="141" spans="1:25" x14ac:dyDescent="0.25">
      <c r="A141" t="s">
        <v>200</v>
      </c>
      <c r="B141">
        <v>9</v>
      </c>
      <c r="C141">
        <v>4</v>
      </c>
      <c r="D141">
        <v>12</v>
      </c>
      <c r="E141" t="s">
        <v>44</v>
      </c>
      <c r="F141" t="s">
        <v>40</v>
      </c>
      <c r="G141">
        <v>4</v>
      </c>
      <c r="H141">
        <f>stimuli_table[[#This Row],[n_colour1_right]]+stimuli_table[[#This Row],[n_colour2_right]]</f>
        <v>7</v>
      </c>
      <c r="I141" t="s">
        <v>36</v>
      </c>
      <c r="J141" t="s">
        <v>92</v>
      </c>
      <c r="K141" t="s">
        <v>29</v>
      </c>
      <c r="L141" t="s">
        <v>95</v>
      </c>
      <c r="M141" t="s">
        <v>38</v>
      </c>
      <c r="N141" s="3">
        <v>2</v>
      </c>
      <c r="O141" t="s">
        <v>32</v>
      </c>
      <c r="P141" t="s">
        <v>27</v>
      </c>
      <c r="Q141" t="s">
        <v>35</v>
      </c>
      <c r="R141">
        <v>5</v>
      </c>
      <c r="S141" t="s">
        <v>72</v>
      </c>
      <c r="T141">
        <v>2</v>
      </c>
      <c r="U141" t="s">
        <v>36</v>
      </c>
      <c r="V141" t="s">
        <v>35</v>
      </c>
      <c r="W141">
        <v>7</v>
      </c>
      <c r="X141" t="s">
        <v>72</v>
      </c>
      <c r="Y141">
        <v>0</v>
      </c>
    </row>
    <row r="142" spans="1:25" x14ac:dyDescent="0.25">
      <c r="A142" t="s">
        <v>200</v>
      </c>
      <c r="B142">
        <v>9</v>
      </c>
      <c r="C142">
        <v>1</v>
      </c>
      <c r="D142">
        <v>13</v>
      </c>
      <c r="E142" t="s">
        <v>46</v>
      </c>
      <c r="F142" t="s">
        <v>26</v>
      </c>
      <c r="G142">
        <v>4</v>
      </c>
      <c r="H142">
        <f>stimuli_table[[#This Row],[n_colour1_right]]+stimuli_table[[#This Row],[n_colour2_right]]</f>
        <v>7</v>
      </c>
      <c r="I142" t="s">
        <v>36</v>
      </c>
      <c r="J142" t="s">
        <v>92</v>
      </c>
      <c r="K142" t="s">
        <v>29</v>
      </c>
      <c r="L142" t="s">
        <v>96</v>
      </c>
      <c r="M142" t="s">
        <v>31</v>
      </c>
      <c r="N142" s="4">
        <v>4</v>
      </c>
      <c r="O142" t="s">
        <v>32</v>
      </c>
      <c r="P142" t="s">
        <v>27</v>
      </c>
      <c r="Q142" t="s">
        <v>35</v>
      </c>
      <c r="R142">
        <v>5</v>
      </c>
      <c r="S142" t="s">
        <v>72</v>
      </c>
      <c r="T142">
        <v>2</v>
      </c>
      <c r="U142" t="s">
        <v>33</v>
      </c>
      <c r="V142" t="s">
        <v>35</v>
      </c>
      <c r="W142">
        <v>3</v>
      </c>
      <c r="X142" t="s">
        <v>72</v>
      </c>
      <c r="Y142">
        <v>4</v>
      </c>
    </row>
    <row r="143" spans="1:25" x14ac:dyDescent="0.25">
      <c r="A143" t="s">
        <v>200</v>
      </c>
      <c r="B143">
        <v>9</v>
      </c>
      <c r="C143">
        <v>2</v>
      </c>
      <c r="D143">
        <v>14</v>
      </c>
      <c r="E143" t="s">
        <v>46</v>
      </c>
      <c r="F143" t="s">
        <v>37</v>
      </c>
      <c r="G143">
        <v>4</v>
      </c>
      <c r="H143">
        <f>stimuli_table[[#This Row],[n_colour1_right]]+stimuli_table[[#This Row],[n_colour2_right]]</f>
        <v>7</v>
      </c>
      <c r="I143" t="s">
        <v>36</v>
      </c>
      <c r="J143" t="s">
        <v>92</v>
      </c>
      <c r="K143" t="s">
        <v>29</v>
      </c>
      <c r="L143" t="s">
        <v>96</v>
      </c>
      <c r="M143" t="s">
        <v>38</v>
      </c>
      <c r="N143" s="4">
        <v>1</v>
      </c>
      <c r="O143" t="s">
        <v>32</v>
      </c>
      <c r="P143" t="s">
        <v>27</v>
      </c>
      <c r="Q143" t="s">
        <v>35</v>
      </c>
      <c r="R143">
        <v>5</v>
      </c>
      <c r="S143" t="s">
        <v>72</v>
      </c>
      <c r="T143">
        <v>2</v>
      </c>
      <c r="U143" t="s">
        <v>36</v>
      </c>
      <c r="V143" t="s">
        <v>35</v>
      </c>
      <c r="W143">
        <v>0</v>
      </c>
      <c r="X143" t="s">
        <v>72</v>
      </c>
      <c r="Y143">
        <v>7</v>
      </c>
    </row>
    <row r="144" spans="1:25" x14ac:dyDescent="0.25">
      <c r="A144" t="s">
        <v>200</v>
      </c>
      <c r="B144">
        <v>9</v>
      </c>
      <c r="C144">
        <v>3</v>
      </c>
      <c r="D144">
        <v>15</v>
      </c>
      <c r="E144" t="s">
        <v>46</v>
      </c>
      <c r="F144" t="s">
        <v>39</v>
      </c>
      <c r="G144">
        <v>4</v>
      </c>
      <c r="H144">
        <f>stimuli_table[[#This Row],[n_colour1_right]]+stimuli_table[[#This Row],[n_colour2_right]]</f>
        <v>7</v>
      </c>
      <c r="I144" t="s">
        <v>36</v>
      </c>
      <c r="J144" t="s">
        <v>92</v>
      </c>
      <c r="K144" t="s">
        <v>29</v>
      </c>
      <c r="L144" t="s">
        <v>96</v>
      </c>
      <c r="M144" t="s">
        <v>41</v>
      </c>
      <c r="N144" s="4">
        <v>2</v>
      </c>
      <c r="O144" t="s">
        <v>32</v>
      </c>
      <c r="P144" t="s">
        <v>27</v>
      </c>
      <c r="Q144" t="s">
        <v>35</v>
      </c>
      <c r="R144">
        <v>5</v>
      </c>
      <c r="S144" t="s">
        <v>72</v>
      </c>
      <c r="T144">
        <v>2</v>
      </c>
      <c r="U144" t="s">
        <v>36</v>
      </c>
      <c r="V144" t="s">
        <v>35</v>
      </c>
      <c r="W144">
        <v>1</v>
      </c>
      <c r="X144" t="s">
        <v>72</v>
      </c>
      <c r="Y144">
        <v>6</v>
      </c>
    </row>
    <row r="145" spans="1:25" x14ac:dyDescent="0.25">
      <c r="A145" t="s">
        <v>200</v>
      </c>
      <c r="B145">
        <v>9</v>
      </c>
      <c r="C145">
        <v>4</v>
      </c>
      <c r="D145">
        <v>16</v>
      </c>
      <c r="E145" t="s">
        <v>46</v>
      </c>
      <c r="F145" t="s">
        <v>40</v>
      </c>
      <c r="G145">
        <v>4</v>
      </c>
      <c r="H145">
        <f>stimuli_table[[#This Row],[n_colour1_right]]+stimuli_table[[#This Row],[n_colour2_right]]</f>
        <v>7</v>
      </c>
      <c r="I145" t="s">
        <v>36</v>
      </c>
      <c r="J145" t="s">
        <v>92</v>
      </c>
      <c r="K145" t="s">
        <v>29</v>
      </c>
      <c r="L145" t="s">
        <v>96</v>
      </c>
      <c r="M145" t="s">
        <v>41</v>
      </c>
      <c r="N145" s="4">
        <v>3</v>
      </c>
      <c r="O145" t="s">
        <v>32</v>
      </c>
      <c r="P145" t="s">
        <v>27</v>
      </c>
      <c r="Q145" t="s">
        <v>35</v>
      </c>
      <c r="R145">
        <v>5</v>
      </c>
      <c r="S145" t="s">
        <v>72</v>
      </c>
      <c r="T145">
        <v>2</v>
      </c>
      <c r="U145" t="s">
        <v>36</v>
      </c>
      <c r="V145" t="s">
        <v>35</v>
      </c>
      <c r="W145">
        <v>7</v>
      </c>
      <c r="X145" t="s">
        <v>72</v>
      </c>
      <c r="Y145">
        <v>0</v>
      </c>
    </row>
    <row r="146" spans="1:25" x14ac:dyDescent="0.25">
      <c r="A146" t="s">
        <v>200</v>
      </c>
      <c r="B146">
        <v>10</v>
      </c>
      <c r="C146">
        <v>1</v>
      </c>
      <c r="D146">
        <v>1</v>
      </c>
      <c r="E146" t="s">
        <v>25</v>
      </c>
      <c r="F146" t="s">
        <v>26</v>
      </c>
      <c r="G146">
        <v>3</v>
      </c>
      <c r="H146">
        <f>stimuli_table[[#This Row],[n_colour1_right]]+stimuli_table[[#This Row],[n_colour2_right]]</f>
        <v>5</v>
      </c>
      <c r="I146" t="s">
        <v>33</v>
      </c>
      <c r="J146" t="s">
        <v>76</v>
      </c>
      <c r="K146" t="s">
        <v>29</v>
      </c>
      <c r="L146" t="s">
        <v>97</v>
      </c>
      <c r="M146" t="s">
        <v>31</v>
      </c>
      <c r="N146" s="2">
        <v>2</v>
      </c>
      <c r="O146" t="s">
        <v>32</v>
      </c>
      <c r="P146" t="s">
        <v>52</v>
      </c>
      <c r="Q146" t="s">
        <v>78</v>
      </c>
      <c r="R146">
        <v>3</v>
      </c>
      <c r="S146" t="s">
        <v>59</v>
      </c>
      <c r="T146">
        <v>5</v>
      </c>
      <c r="U146" t="s">
        <v>50</v>
      </c>
      <c r="V146" t="s">
        <v>78</v>
      </c>
      <c r="W146">
        <v>3</v>
      </c>
      <c r="X146" t="s">
        <v>59</v>
      </c>
      <c r="Y146">
        <v>2</v>
      </c>
    </row>
    <row r="147" spans="1:25" x14ac:dyDescent="0.25">
      <c r="A147" t="s">
        <v>200</v>
      </c>
      <c r="B147">
        <v>10</v>
      </c>
      <c r="C147">
        <v>2</v>
      </c>
      <c r="D147">
        <v>2</v>
      </c>
      <c r="E147" t="s">
        <v>25</v>
      </c>
      <c r="F147" t="s">
        <v>37</v>
      </c>
      <c r="G147">
        <v>3</v>
      </c>
      <c r="H147">
        <f>stimuli_table[[#This Row],[n_colour1_right]]+stimuli_table[[#This Row],[n_colour2_right]]</f>
        <v>5</v>
      </c>
      <c r="I147" t="s">
        <v>33</v>
      </c>
      <c r="J147" t="s">
        <v>76</v>
      </c>
      <c r="K147" t="s">
        <v>29</v>
      </c>
      <c r="L147" t="s">
        <v>97</v>
      </c>
      <c r="M147" t="s">
        <v>38</v>
      </c>
      <c r="N147" s="2">
        <v>3</v>
      </c>
      <c r="O147" t="s">
        <v>32</v>
      </c>
      <c r="P147" t="s">
        <v>52</v>
      </c>
      <c r="Q147" t="s">
        <v>78</v>
      </c>
      <c r="R147">
        <v>3</v>
      </c>
      <c r="S147" t="s">
        <v>59</v>
      </c>
      <c r="T147">
        <v>5</v>
      </c>
      <c r="U147" t="s">
        <v>27</v>
      </c>
      <c r="V147" t="s">
        <v>78</v>
      </c>
      <c r="W147">
        <v>0</v>
      </c>
      <c r="X147" t="s">
        <v>59</v>
      </c>
      <c r="Y147">
        <v>5</v>
      </c>
    </row>
    <row r="148" spans="1:25" x14ac:dyDescent="0.25">
      <c r="A148" t="s">
        <v>200</v>
      </c>
      <c r="B148">
        <v>10</v>
      </c>
      <c r="C148">
        <v>3</v>
      </c>
      <c r="D148">
        <v>3</v>
      </c>
      <c r="E148" t="s">
        <v>25</v>
      </c>
      <c r="F148" t="s">
        <v>39</v>
      </c>
      <c r="G148">
        <v>3</v>
      </c>
      <c r="H148">
        <f>stimuli_table[[#This Row],[n_colour1_right]]+stimuli_table[[#This Row],[n_colour2_right]]</f>
        <v>5</v>
      </c>
      <c r="I148" t="s">
        <v>33</v>
      </c>
      <c r="J148" t="s">
        <v>76</v>
      </c>
      <c r="K148" t="s">
        <v>29</v>
      </c>
      <c r="L148" t="s">
        <v>97</v>
      </c>
      <c r="M148" t="s">
        <v>38</v>
      </c>
      <c r="N148" s="2">
        <v>4</v>
      </c>
      <c r="O148" t="s">
        <v>32</v>
      </c>
      <c r="P148" t="s">
        <v>52</v>
      </c>
      <c r="Q148" t="s">
        <v>78</v>
      </c>
      <c r="R148">
        <v>3</v>
      </c>
      <c r="S148" t="s">
        <v>59</v>
      </c>
      <c r="T148">
        <v>5</v>
      </c>
      <c r="U148" t="s">
        <v>27</v>
      </c>
      <c r="V148" t="s">
        <v>78</v>
      </c>
      <c r="W148">
        <v>2</v>
      </c>
      <c r="X148" t="s">
        <v>59</v>
      </c>
      <c r="Y148">
        <v>3</v>
      </c>
    </row>
    <row r="149" spans="1:25" x14ac:dyDescent="0.25">
      <c r="A149" t="s">
        <v>200</v>
      </c>
      <c r="B149">
        <v>10</v>
      </c>
      <c r="C149">
        <v>4</v>
      </c>
      <c r="D149">
        <v>4</v>
      </c>
      <c r="E149" t="s">
        <v>25</v>
      </c>
      <c r="F149" t="s">
        <v>40</v>
      </c>
      <c r="G149">
        <v>3</v>
      </c>
      <c r="H149">
        <f>stimuli_table[[#This Row],[n_colour1_right]]+stimuli_table[[#This Row],[n_colour2_right]]</f>
        <v>5</v>
      </c>
      <c r="I149" t="s">
        <v>33</v>
      </c>
      <c r="J149" t="s">
        <v>76</v>
      </c>
      <c r="K149" t="s">
        <v>29</v>
      </c>
      <c r="L149" t="s">
        <v>97</v>
      </c>
      <c r="M149" t="s">
        <v>41</v>
      </c>
      <c r="N149" s="2">
        <v>1</v>
      </c>
      <c r="O149" t="s">
        <v>32</v>
      </c>
      <c r="P149" t="s">
        <v>52</v>
      </c>
      <c r="Q149" t="s">
        <v>78</v>
      </c>
      <c r="R149">
        <v>3</v>
      </c>
      <c r="S149" t="s">
        <v>59</v>
      </c>
      <c r="T149">
        <v>5</v>
      </c>
      <c r="U149" t="s">
        <v>27</v>
      </c>
      <c r="V149" t="s">
        <v>78</v>
      </c>
      <c r="W149">
        <v>5</v>
      </c>
      <c r="X149" t="s">
        <v>59</v>
      </c>
      <c r="Y149">
        <v>0</v>
      </c>
    </row>
    <row r="150" spans="1:25" x14ac:dyDescent="0.25">
      <c r="A150" t="s">
        <v>200</v>
      </c>
      <c r="B150">
        <v>10</v>
      </c>
      <c r="C150">
        <v>1</v>
      </c>
      <c r="D150">
        <v>5</v>
      </c>
      <c r="E150" t="s">
        <v>42</v>
      </c>
      <c r="F150" t="s">
        <v>26</v>
      </c>
      <c r="G150">
        <v>3</v>
      </c>
      <c r="H150">
        <f>stimuli_table[[#This Row],[n_colour1_right]]+stimuli_table[[#This Row],[n_colour2_right]]</f>
        <v>5</v>
      </c>
      <c r="I150" t="s">
        <v>33</v>
      </c>
      <c r="J150" t="s">
        <v>76</v>
      </c>
      <c r="K150" t="s">
        <v>29</v>
      </c>
      <c r="L150" t="s">
        <v>98</v>
      </c>
      <c r="M150" t="s">
        <v>31</v>
      </c>
      <c r="N150" s="3">
        <v>3</v>
      </c>
      <c r="O150" t="s">
        <v>32</v>
      </c>
      <c r="P150" t="s">
        <v>52</v>
      </c>
      <c r="Q150" t="s">
        <v>78</v>
      </c>
      <c r="R150">
        <v>3</v>
      </c>
      <c r="S150" t="s">
        <v>59</v>
      </c>
      <c r="T150">
        <v>5</v>
      </c>
      <c r="U150" t="s">
        <v>50</v>
      </c>
      <c r="V150" t="s">
        <v>78</v>
      </c>
      <c r="W150">
        <v>3</v>
      </c>
      <c r="X150" t="s">
        <v>59</v>
      </c>
      <c r="Y150">
        <v>2</v>
      </c>
    </row>
    <row r="151" spans="1:25" x14ac:dyDescent="0.25">
      <c r="A151" t="s">
        <v>200</v>
      </c>
      <c r="B151">
        <v>10</v>
      </c>
      <c r="C151">
        <v>2</v>
      </c>
      <c r="D151">
        <v>6</v>
      </c>
      <c r="E151" t="s">
        <v>42</v>
      </c>
      <c r="F151" t="s">
        <v>37</v>
      </c>
      <c r="G151">
        <v>3</v>
      </c>
      <c r="H151">
        <f>stimuli_table[[#This Row],[n_colour1_right]]+stimuli_table[[#This Row],[n_colour2_right]]</f>
        <v>5</v>
      </c>
      <c r="I151" t="s">
        <v>33</v>
      </c>
      <c r="J151" t="s">
        <v>76</v>
      </c>
      <c r="K151" t="s">
        <v>29</v>
      </c>
      <c r="L151" t="s">
        <v>98</v>
      </c>
      <c r="M151" t="s">
        <v>41</v>
      </c>
      <c r="N151" s="3">
        <v>4</v>
      </c>
      <c r="O151" t="s">
        <v>32</v>
      </c>
      <c r="P151" t="s">
        <v>52</v>
      </c>
      <c r="Q151" t="s">
        <v>78</v>
      </c>
      <c r="R151">
        <v>3</v>
      </c>
      <c r="S151" t="s">
        <v>59</v>
      </c>
      <c r="T151">
        <v>5</v>
      </c>
      <c r="U151" t="s">
        <v>27</v>
      </c>
      <c r="V151" t="s">
        <v>78</v>
      </c>
      <c r="W151">
        <v>0</v>
      </c>
      <c r="X151" t="s">
        <v>59</v>
      </c>
      <c r="Y151">
        <v>5</v>
      </c>
    </row>
    <row r="152" spans="1:25" x14ac:dyDescent="0.25">
      <c r="A152" t="s">
        <v>200</v>
      </c>
      <c r="B152">
        <v>10</v>
      </c>
      <c r="C152">
        <v>3</v>
      </c>
      <c r="D152">
        <v>7</v>
      </c>
      <c r="E152" t="s">
        <v>42</v>
      </c>
      <c r="F152" t="s">
        <v>39</v>
      </c>
      <c r="G152">
        <v>3</v>
      </c>
      <c r="H152">
        <f>stimuli_table[[#This Row],[n_colour1_right]]+stimuli_table[[#This Row],[n_colour2_right]]</f>
        <v>5</v>
      </c>
      <c r="I152" t="s">
        <v>33</v>
      </c>
      <c r="J152" t="s">
        <v>76</v>
      </c>
      <c r="K152" t="s">
        <v>29</v>
      </c>
      <c r="L152" t="s">
        <v>98</v>
      </c>
      <c r="M152" t="s">
        <v>41</v>
      </c>
      <c r="N152" s="3">
        <v>1</v>
      </c>
      <c r="O152" t="s">
        <v>32</v>
      </c>
      <c r="P152" t="s">
        <v>52</v>
      </c>
      <c r="Q152" t="s">
        <v>78</v>
      </c>
      <c r="R152">
        <v>3</v>
      </c>
      <c r="S152" t="s">
        <v>59</v>
      </c>
      <c r="T152">
        <v>5</v>
      </c>
      <c r="U152" t="s">
        <v>27</v>
      </c>
      <c r="V152" t="s">
        <v>78</v>
      </c>
      <c r="W152">
        <v>2</v>
      </c>
      <c r="X152" t="s">
        <v>59</v>
      </c>
      <c r="Y152">
        <v>3</v>
      </c>
    </row>
    <row r="153" spans="1:25" x14ac:dyDescent="0.25">
      <c r="A153" t="s">
        <v>200</v>
      </c>
      <c r="B153">
        <v>10</v>
      </c>
      <c r="C153">
        <v>4</v>
      </c>
      <c r="D153">
        <v>8</v>
      </c>
      <c r="E153" t="s">
        <v>42</v>
      </c>
      <c r="F153" t="s">
        <v>40</v>
      </c>
      <c r="G153">
        <v>3</v>
      </c>
      <c r="H153">
        <f>stimuli_table[[#This Row],[n_colour1_right]]+stimuli_table[[#This Row],[n_colour2_right]]</f>
        <v>5</v>
      </c>
      <c r="I153" t="s">
        <v>33</v>
      </c>
      <c r="J153" t="s">
        <v>76</v>
      </c>
      <c r="K153" t="s">
        <v>29</v>
      </c>
      <c r="L153" t="s">
        <v>98</v>
      </c>
      <c r="M153" t="s">
        <v>38</v>
      </c>
      <c r="N153" s="3">
        <v>2</v>
      </c>
      <c r="O153" t="s">
        <v>32</v>
      </c>
      <c r="P153" t="s">
        <v>52</v>
      </c>
      <c r="Q153" t="s">
        <v>78</v>
      </c>
      <c r="R153">
        <v>3</v>
      </c>
      <c r="S153" t="s">
        <v>59</v>
      </c>
      <c r="T153">
        <v>5</v>
      </c>
      <c r="U153" t="s">
        <v>27</v>
      </c>
      <c r="V153" t="s">
        <v>78</v>
      </c>
      <c r="W153">
        <v>5</v>
      </c>
      <c r="X153" t="s">
        <v>59</v>
      </c>
      <c r="Y153">
        <v>0</v>
      </c>
    </row>
    <row r="154" spans="1:25" x14ac:dyDescent="0.25">
      <c r="A154" t="s">
        <v>200</v>
      </c>
      <c r="B154">
        <v>10</v>
      </c>
      <c r="C154">
        <v>1</v>
      </c>
      <c r="D154">
        <v>9</v>
      </c>
      <c r="E154" t="s">
        <v>44</v>
      </c>
      <c r="F154" t="s">
        <v>26</v>
      </c>
      <c r="G154">
        <v>3</v>
      </c>
      <c r="H154">
        <f>stimuli_table[[#This Row],[n_colour1_right]]+stimuli_table[[#This Row],[n_colour2_right]]</f>
        <v>5</v>
      </c>
      <c r="I154" t="s">
        <v>33</v>
      </c>
      <c r="J154" t="s">
        <v>76</v>
      </c>
      <c r="K154" t="s">
        <v>29</v>
      </c>
      <c r="L154" t="s">
        <v>99</v>
      </c>
      <c r="M154" t="s">
        <v>31</v>
      </c>
      <c r="N154" s="4">
        <v>4</v>
      </c>
      <c r="O154" t="s">
        <v>32</v>
      </c>
      <c r="P154" t="s">
        <v>52</v>
      </c>
      <c r="Q154" t="s">
        <v>78</v>
      </c>
      <c r="R154">
        <v>3</v>
      </c>
      <c r="S154" t="s">
        <v>59</v>
      </c>
      <c r="T154">
        <v>5</v>
      </c>
      <c r="U154" t="s">
        <v>50</v>
      </c>
      <c r="V154" t="s">
        <v>78</v>
      </c>
      <c r="W154">
        <v>3</v>
      </c>
      <c r="X154" t="s">
        <v>59</v>
      </c>
      <c r="Y154">
        <v>2</v>
      </c>
    </row>
    <row r="155" spans="1:25" x14ac:dyDescent="0.25">
      <c r="A155" t="s">
        <v>200</v>
      </c>
      <c r="B155">
        <v>10</v>
      </c>
      <c r="C155">
        <v>2</v>
      </c>
      <c r="D155">
        <v>10</v>
      </c>
      <c r="E155" t="s">
        <v>44</v>
      </c>
      <c r="F155" t="s">
        <v>37</v>
      </c>
      <c r="G155">
        <v>3</v>
      </c>
      <c r="H155">
        <f>stimuli_table[[#This Row],[n_colour1_right]]+stimuli_table[[#This Row],[n_colour2_right]]</f>
        <v>5</v>
      </c>
      <c r="I155" t="s">
        <v>33</v>
      </c>
      <c r="J155" t="s">
        <v>76</v>
      </c>
      <c r="K155" t="s">
        <v>29</v>
      </c>
      <c r="L155" t="s">
        <v>99</v>
      </c>
      <c r="M155" t="s">
        <v>41</v>
      </c>
      <c r="N155" s="4">
        <v>1</v>
      </c>
      <c r="O155" t="s">
        <v>32</v>
      </c>
      <c r="P155" t="s">
        <v>52</v>
      </c>
      <c r="Q155" t="s">
        <v>78</v>
      </c>
      <c r="R155">
        <v>3</v>
      </c>
      <c r="S155" t="s">
        <v>59</v>
      </c>
      <c r="T155">
        <v>5</v>
      </c>
      <c r="U155" t="s">
        <v>27</v>
      </c>
      <c r="V155" t="s">
        <v>78</v>
      </c>
      <c r="W155">
        <v>0</v>
      </c>
      <c r="X155" t="s">
        <v>59</v>
      </c>
      <c r="Y155">
        <v>5</v>
      </c>
    </row>
    <row r="156" spans="1:25" x14ac:dyDescent="0.25">
      <c r="A156" t="s">
        <v>200</v>
      </c>
      <c r="B156">
        <v>10</v>
      </c>
      <c r="C156">
        <v>3</v>
      </c>
      <c r="D156">
        <v>11</v>
      </c>
      <c r="E156" t="s">
        <v>44</v>
      </c>
      <c r="F156" t="s">
        <v>39</v>
      </c>
      <c r="G156">
        <v>3</v>
      </c>
      <c r="H156">
        <f>stimuli_table[[#This Row],[n_colour1_right]]+stimuli_table[[#This Row],[n_colour2_right]]</f>
        <v>5</v>
      </c>
      <c r="I156" t="s">
        <v>33</v>
      </c>
      <c r="J156" t="s">
        <v>76</v>
      </c>
      <c r="K156" t="s">
        <v>29</v>
      </c>
      <c r="L156" t="s">
        <v>99</v>
      </c>
      <c r="M156" t="s">
        <v>41</v>
      </c>
      <c r="N156" s="4">
        <v>2</v>
      </c>
      <c r="O156" t="s">
        <v>32</v>
      </c>
      <c r="P156" t="s">
        <v>52</v>
      </c>
      <c r="Q156" t="s">
        <v>78</v>
      </c>
      <c r="R156">
        <v>3</v>
      </c>
      <c r="S156" t="s">
        <v>59</v>
      </c>
      <c r="T156">
        <v>5</v>
      </c>
      <c r="U156" t="s">
        <v>27</v>
      </c>
      <c r="V156" t="s">
        <v>78</v>
      </c>
      <c r="W156">
        <v>2</v>
      </c>
      <c r="X156" t="s">
        <v>59</v>
      </c>
      <c r="Y156">
        <v>3</v>
      </c>
    </row>
    <row r="157" spans="1:25" x14ac:dyDescent="0.25">
      <c r="A157" t="s">
        <v>200</v>
      </c>
      <c r="B157">
        <v>10</v>
      </c>
      <c r="C157">
        <v>4</v>
      </c>
      <c r="D157">
        <v>12</v>
      </c>
      <c r="E157" t="s">
        <v>44</v>
      </c>
      <c r="F157" t="s">
        <v>40</v>
      </c>
      <c r="G157">
        <v>3</v>
      </c>
      <c r="H157">
        <f>stimuli_table[[#This Row],[n_colour1_right]]+stimuli_table[[#This Row],[n_colour2_right]]</f>
        <v>5</v>
      </c>
      <c r="I157" t="s">
        <v>33</v>
      </c>
      <c r="J157" t="s">
        <v>76</v>
      </c>
      <c r="K157" t="s">
        <v>29</v>
      </c>
      <c r="L157" t="s">
        <v>99</v>
      </c>
      <c r="M157" t="s">
        <v>38</v>
      </c>
      <c r="N157" s="4">
        <v>3</v>
      </c>
      <c r="O157" t="s">
        <v>32</v>
      </c>
      <c r="P157" t="s">
        <v>52</v>
      </c>
      <c r="Q157" t="s">
        <v>78</v>
      </c>
      <c r="R157">
        <v>3</v>
      </c>
      <c r="S157" t="s">
        <v>59</v>
      </c>
      <c r="T157">
        <v>5</v>
      </c>
      <c r="U157" t="s">
        <v>27</v>
      </c>
      <c r="V157" t="s">
        <v>78</v>
      </c>
      <c r="W157">
        <v>5</v>
      </c>
      <c r="X157" t="s">
        <v>59</v>
      </c>
      <c r="Y157">
        <v>0</v>
      </c>
    </row>
    <row r="158" spans="1:25" x14ac:dyDescent="0.25">
      <c r="A158" t="s">
        <v>200</v>
      </c>
      <c r="B158">
        <v>10</v>
      </c>
      <c r="C158">
        <v>1</v>
      </c>
      <c r="D158">
        <v>13</v>
      </c>
      <c r="E158" t="s">
        <v>46</v>
      </c>
      <c r="F158" t="s">
        <v>26</v>
      </c>
      <c r="G158">
        <v>3</v>
      </c>
      <c r="H158">
        <f>stimuli_table[[#This Row],[n_colour1_right]]+stimuli_table[[#This Row],[n_colour2_right]]</f>
        <v>5</v>
      </c>
      <c r="I158" t="s">
        <v>33</v>
      </c>
      <c r="J158" t="s">
        <v>76</v>
      </c>
      <c r="K158" t="s">
        <v>29</v>
      </c>
      <c r="L158" t="s">
        <v>100</v>
      </c>
      <c r="M158" t="s">
        <v>31</v>
      </c>
      <c r="N158" s="1">
        <v>1</v>
      </c>
      <c r="O158" t="s">
        <v>32</v>
      </c>
      <c r="P158" t="s">
        <v>52</v>
      </c>
      <c r="Q158" t="s">
        <v>78</v>
      </c>
      <c r="R158">
        <v>3</v>
      </c>
      <c r="S158" t="s">
        <v>59</v>
      </c>
      <c r="T158">
        <v>5</v>
      </c>
      <c r="U158" t="s">
        <v>50</v>
      </c>
      <c r="V158" t="s">
        <v>78</v>
      </c>
      <c r="W158">
        <v>3</v>
      </c>
      <c r="X158" t="s">
        <v>59</v>
      </c>
      <c r="Y158">
        <v>2</v>
      </c>
    </row>
    <row r="159" spans="1:25" x14ac:dyDescent="0.25">
      <c r="A159" t="s">
        <v>200</v>
      </c>
      <c r="B159">
        <v>10</v>
      </c>
      <c r="C159">
        <v>2</v>
      </c>
      <c r="D159">
        <v>14</v>
      </c>
      <c r="E159" t="s">
        <v>46</v>
      </c>
      <c r="F159" t="s">
        <v>37</v>
      </c>
      <c r="G159">
        <v>3</v>
      </c>
      <c r="H159">
        <f>stimuli_table[[#This Row],[n_colour1_right]]+stimuli_table[[#This Row],[n_colour2_right]]</f>
        <v>5</v>
      </c>
      <c r="I159" t="s">
        <v>33</v>
      </c>
      <c r="J159" t="s">
        <v>76</v>
      </c>
      <c r="K159" t="s">
        <v>29</v>
      </c>
      <c r="L159" t="s">
        <v>100</v>
      </c>
      <c r="M159" t="s">
        <v>38</v>
      </c>
      <c r="N159" s="1">
        <v>2</v>
      </c>
      <c r="O159" t="s">
        <v>32</v>
      </c>
      <c r="P159" t="s">
        <v>52</v>
      </c>
      <c r="Q159" t="s">
        <v>78</v>
      </c>
      <c r="R159">
        <v>3</v>
      </c>
      <c r="S159" t="s">
        <v>59</v>
      </c>
      <c r="T159">
        <v>5</v>
      </c>
      <c r="U159" t="s">
        <v>27</v>
      </c>
      <c r="V159" t="s">
        <v>78</v>
      </c>
      <c r="W159">
        <v>0</v>
      </c>
      <c r="X159" t="s">
        <v>59</v>
      </c>
      <c r="Y159">
        <v>5</v>
      </c>
    </row>
    <row r="160" spans="1:25" x14ac:dyDescent="0.25">
      <c r="A160" t="s">
        <v>200</v>
      </c>
      <c r="B160">
        <v>10</v>
      </c>
      <c r="C160">
        <v>3</v>
      </c>
      <c r="D160">
        <v>15</v>
      </c>
      <c r="E160" t="s">
        <v>46</v>
      </c>
      <c r="F160" t="s">
        <v>39</v>
      </c>
      <c r="G160">
        <v>3</v>
      </c>
      <c r="H160">
        <f>stimuli_table[[#This Row],[n_colour1_right]]+stimuli_table[[#This Row],[n_colour2_right]]</f>
        <v>5</v>
      </c>
      <c r="I160" t="s">
        <v>33</v>
      </c>
      <c r="J160" t="s">
        <v>76</v>
      </c>
      <c r="K160" t="s">
        <v>29</v>
      </c>
      <c r="L160" t="s">
        <v>100</v>
      </c>
      <c r="M160" t="s">
        <v>41</v>
      </c>
      <c r="N160" s="1">
        <v>3</v>
      </c>
      <c r="O160" t="s">
        <v>32</v>
      </c>
      <c r="P160" t="s">
        <v>52</v>
      </c>
      <c r="Q160" t="s">
        <v>78</v>
      </c>
      <c r="R160">
        <v>3</v>
      </c>
      <c r="S160" t="s">
        <v>59</v>
      </c>
      <c r="T160">
        <v>5</v>
      </c>
      <c r="U160" t="s">
        <v>27</v>
      </c>
      <c r="V160" t="s">
        <v>78</v>
      </c>
      <c r="W160">
        <v>2</v>
      </c>
      <c r="X160" t="s">
        <v>59</v>
      </c>
      <c r="Y160">
        <v>3</v>
      </c>
    </row>
    <row r="161" spans="1:25" x14ac:dyDescent="0.25">
      <c r="A161" t="s">
        <v>200</v>
      </c>
      <c r="B161">
        <v>10</v>
      </c>
      <c r="C161">
        <v>4</v>
      </c>
      <c r="D161">
        <v>16</v>
      </c>
      <c r="E161" t="s">
        <v>46</v>
      </c>
      <c r="F161" t="s">
        <v>40</v>
      </c>
      <c r="G161">
        <v>3</v>
      </c>
      <c r="H161">
        <f>stimuli_table[[#This Row],[n_colour1_right]]+stimuli_table[[#This Row],[n_colour2_right]]</f>
        <v>5</v>
      </c>
      <c r="I161" t="s">
        <v>33</v>
      </c>
      <c r="J161" t="s">
        <v>76</v>
      </c>
      <c r="K161" t="s">
        <v>29</v>
      </c>
      <c r="L161" t="s">
        <v>100</v>
      </c>
      <c r="M161" t="s">
        <v>41</v>
      </c>
      <c r="N161" s="1">
        <v>4</v>
      </c>
      <c r="O161" t="s">
        <v>32</v>
      </c>
      <c r="P161" t="s">
        <v>52</v>
      </c>
      <c r="Q161" t="s">
        <v>78</v>
      </c>
      <c r="R161">
        <v>3</v>
      </c>
      <c r="S161" t="s">
        <v>59</v>
      </c>
      <c r="T161">
        <v>5</v>
      </c>
      <c r="U161" t="s">
        <v>27</v>
      </c>
      <c r="V161" t="s">
        <v>78</v>
      </c>
      <c r="W161">
        <v>5</v>
      </c>
      <c r="X161" t="s">
        <v>59</v>
      </c>
      <c r="Y161">
        <v>0</v>
      </c>
    </row>
    <row r="162" spans="1:25" x14ac:dyDescent="0.25">
      <c r="A162" t="s">
        <v>200</v>
      </c>
      <c r="B162">
        <v>11</v>
      </c>
      <c r="C162">
        <v>1</v>
      </c>
      <c r="D162">
        <v>1</v>
      </c>
      <c r="E162" t="s">
        <v>25</v>
      </c>
      <c r="F162" t="s">
        <v>26</v>
      </c>
      <c r="G162">
        <v>3</v>
      </c>
      <c r="H162">
        <f>stimuli_table[[#This Row],[n_colour1_left]]+stimuli_table[[#This Row],[n_colour2_left]]</f>
        <v>5</v>
      </c>
      <c r="I162" t="s">
        <v>33</v>
      </c>
      <c r="J162" t="s">
        <v>101</v>
      </c>
      <c r="K162" t="s">
        <v>29</v>
      </c>
      <c r="L162" t="s">
        <v>102</v>
      </c>
      <c r="M162" t="s">
        <v>31</v>
      </c>
      <c r="N162" s="3">
        <v>3</v>
      </c>
      <c r="O162" t="s">
        <v>103</v>
      </c>
      <c r="P162" t="s">
        <v>36</v>
      </c>
      <c r="Q162" t="s">
        <v>59</v>
      </c>
      <c r="R162">
        <v>3</v>
      </c>
      <c r="S162" t="s">
        <v>65</v>
      </c>
      <c r="T162">
        <v>2</v>
      </c>
      <c r="U162" t="s">
        <v>52</v>
      </c>
      <c r="V162" t="s">
        <v>59</v>
      </c>
      <c r="W162">
        <v>5</v>
      </c>
      <c r="X162" t="s">
        <v>65</v>
      </c>
      <c r="Y162">
        <v>1</v>
      </c>
    </row>
    <row r="163" spans="1:25" x14ac:dyDescent="0.25">
      <c r="A163" t="s">
        <v>200</v>
      </c>
      <c r="B163">
        <v>11</v>
      </c>
      <c r="C163">
        <v>2</v>
      </c>
      <c r="D163">
        <v>2</v>
      </c>
      <c r="E163" t="s">
        <v>25</v>
      </c>
      <c r="F163" t="s">
        <v>37</v>
      </c>
      <c r="G163">
        <v>3</v>
      </c>
      <c r="H163">
        <f>stimuli_table[[#This Row],[n_colour1_left]]+stimuli_table[[#This Row],[n_colour2_left]]</f>
        <v>5</v>
      </c>
      <c r="I163" t="s">
        <v>33</v>
      </c>
      <c r="J163" t="s">
        <v>101</v>
      </c>
      <c r="K163" t="s">
        <v>29</v>
      </c>
      <c r="L163" t="s">
        <v>102</v>
      </c>
      <c r="M163" t="s">
        <v>38</v>
      </c>
      <c r="N163" s="3">
        <v>4</v>
      </c>
      <c r="O163" t="s">
        <v>103</v>
      </c>
      <c r="P163" t="s">
        <v>33</v>
      </c>
      <c r="Q163" t="s">
        <v>59</v>
      </c>
      <c r="R163">
        <v>0</v>
      </c>
      <c r="S163" t="s">
        <v>65</v>
      </c>
      <c r="T163">
        <v>5</v>
      </c>
      <c r="U163" t="s">
        <v>52</v>
      </c>
      <c r="V163" t="s">
        <v>59</v>
      </c>
      <c r="W163">
        <v>5</v>
      </c>
      <c r="X163" t="s">
        <v>65</v>
      </c>
      <c r="Y163">
        <v>1</v>
      </c>
    </row>
    <row r="164" spans="1:25" x14ac:dyDescent="0.25">
      <c r="A164" t="s">
        <v>200</v>
      </c>
      <c r="B164">
        <v>11</v>
      </c>
      <c r="C164">
        <v>3</v>
      </c>
      <c r="D164">
        <v>3</v>
      </c>
      <c r="E164" t="s">
        <v>25</v>
      </c>
      <c r="F164" t="s">
        <v>39</v>
      </c>
      <c r="G164">
        <v>3</v>
      </c>
      <c r="H164">
        <f>stimuli_table[[#This Row],[n_colour1_left]]+stimuli_table[[#This Row],[n_colour2_left]]</f>
        <v>5</v>
      </c>
      <c r="I164" t="s">
        <v>33</v>
      </c>
      <c r="J164" t="s">
        <v>101</v>
      </c>
      <c r="K164" t="s">
        <v>29</v>
      </c>
      <c r="L164" t="s">
        <v>102</v>
      </c>
      <c r="M164" t="s">
        <v>38</v>
      </c>
      <c r="N164" s="3">
        <v>1</v>
      </c>
      <c r="O164" t="s">
        <v>103</v>
      </c>
      <c r="P164" t="s">
        <v>33</v>
      </c>
      <c r="Q164" t="s">
        <v>59</v>
      </c>
      <c r="R164">
        <v>1</v>
      </c>
      <c r="S164" t="s">
        <v>65</v>
      </c>
      <c r="T164">
        <v>4</v>
      </c>
      <c r="U164" t="s">
        <v>52</v>
      </c>
      <c r="V164" t="s">
        <v>59</v>
      </c>
      <c r="W164">
        <v>5</v>
      </c>
      <c r="X164" t="s">
        <v>65</v>
      </c>
      <c r="Y164">
        <v>1</v>
      </c>
    </row>
    <row r="165" spans="1:25" x14ac:dyDescent="0.25">
      <c r="A165" t="s">
        <v>200</v>
      </c>
      <c r="B165">
        <v>11</v>
      </c>
      <c r="C165">
        <v>4</v>
      </c>
      <c r="D165">
        <v>4</v>
      </c>
      <c r="E165" t="s">
        <v>25</v>
      </c>
      <c r="F165" t="s">
        <v>40</v>
      </c>
      <c r="G165">
        <v>3</v>
      </c>
      <c r="H165">
        <f>stimuli_table[[#This Row],[n_colour1_left]]+stimuli_table[[#This Row],[n_colour2_left]]</f>
        <v>5</v>
      </c>
      <c r="I165" t="s">
        <v>33</v>
      </c>
      <c r="J165" t="s">
        <v>101</v>
      </c>
      <c r="K165" t="s">
        <v>29</v>
      </c>
      <c r="L165" t="s">
        <v>102</v>
      </c>
      <c r="M165" t="s">
        <v>41</v>
      </c>
      <c r="N165" s="3">
        <v>2</v>
      </c>
      <c r="O165" t="s">
        <v>103</v>
      </c>
      <c r="P165" t="s">
        <v>33</v>
      </c>
      <c r="Q165" t="s">
        <v>59</v>
      </c>
      <c r="R165">
        <v>5</v>
      </c>
      <c r="S165" t="s">
        <v>65</v>
      </c>
      <c r="T165">
        <v>0</v>
      </c>
      <c r="U165" t="s">
        <v>52</v>
      </c>
      <c r="V165" t="s">
        <v>59</v>
      </c>
      <c r="W165">
        <v>5</v>
      </c>
      <c r="X165" t="s">
        <v>65</v>
      </c>
      <c r="Y165">
        <v>1</v>
      </c>
    </row>
    <row r="166" spans="1:25" x14ac:dyDescent="0.25">
      <c r="A166" t="s">
        <v>200</v>
      </c>
      <c r="B166">
        <v>11</v>
      </c>
      <c r="C166">
        <v>1</v>
      </c>
      <c r="D166">
        <v>5</v>
      </c>
      <c r="E166" t="s">
        <v>42</v>
      </c>
      <c r="F166" t="s">
        <v>26</v>
      </c>
      <c r="G166">
        <v>3</v>
      </c>
      <c r="H166">
        <f>stimuli_table[[#This Row],[n_colour1_left]]+stimuli_table[[#This Row],[n_colour2_left]]</f>
        <v>5</v>
      </c>
      <c r="I166" t="s">
        <v>33</v>
      </c>
      <c r="J166" t="s">
        <v>101</v>
      </c>
      <c r="K166" t="s">
        <v>29</v>
      </c>
      <c r="L166" t="s">
        <v>104</v>
      </c>
      <c r="M166" t="s">
        <v>31</v>
      </c>
      <c r="N166" s="4">
        <v>4</v>
      </c>
      <c r="O166" t="s">
        <v>103</v>
      </c>
      <c r="P166" t="s">
        <v>36</v>
      </c>
      <c r="Q166" t="s">
        <v>59</v>
      </c>
      <c r="R166">
        <v>3</v>
      </c>
      <c r="S166" t="s">
        <v>65</v>
      </c>
      <c r="T166">
        <v>2</v>
      </c>
      <c r="U166" t="s">
        <v>52</v>
      </c>
      <c r="V166" t="s">
        <v>59</v>
      </c>
      <c r="W166">
        <v>5</v>
      </c>
      <c r="X166" t="s">
        <v>65</v>
      </c>
      <c r="Y166">
        <v>1</v>
      </c>
    </row>
    <row r="167" spans="1:25" x14ac:dyDescent="0.25">
      <c r="A167" t="s">
        <v>200</v>
      </c>
      <c r="B167">
        <v>11</v>
      </c>
      <c r="C167">
        <v>2</v>
      </c>
      <c r="D167">
        <v>6</v>
      </c>
      <c r="E167" t="s">
        <v>42</v>
      </c>
      <c r="F167" t="s">
        <v>37</v>
      </c>
      <c r="G167">
        <v>3</v>
      </c>
      <c r="H167">
        <f>stimuli_table[[#This Row],[n_colour1_left]]+stimuli_table[[#This Row],[n_colour2_left]]</f>
        <v>5</v>
      </c>
      <c r="I167" t="s">
        <v>33</v>
      </c>
      <c r="J167" t="s">
        <v>101</v>
      </c>
      <c r="K167" t="s">
        <v>29</v>
      </c>
      <c r="L167" t="s">
        <v>104</v>
      </c>
      <c r="M167" t="s">
        <v>41</v>
      </c>
      <c r="N167" s="4">
        <v>1</v>
      </c>
      <c r="O167" t="s">
        <v>103</v>
      </c>
      <c r="P167" t="s">
        <v>33</v>
      </c>
      <c r="Q167" t="s">
        <v>59</v>
      </c>
      <c r="R167">
        <v>0</v>
      </c>
      <c r="S167" t="s">
        <v>65</v>
      </c>
      <c r="T167">
        <v>5</v>
      </c>
      <c r="U167" t="s">
        <v>52</v>
      </c>
      <c r="V167" t="s">
        <v>59</v>
      </c>
      <c r="W167">
        <v>5</v>
      </c>
      <c r="X167" t="s">
        <v>65</v>
      </c>
      <c r="Y167">
        <v>1</v>
      </c>
    </row>
    <row r="168" spans="1:25" x14ac:dyDescent="0.25">
      <c r="A168" t="s">
        <v>200</v>
      </c>
      <c r="B168">
        <v>11</v>
      </c>
      <c r="C168">
        <v>3</v>
      </c>
      <c r="D168">
        <v>7</v>
      </c>
      <c r="E168" t="s">
        <v>42</v>
      </c>
      <c r="F168" t="s">
        <v>39</v>
      </c>
      <c r="G168">
        <v>3</v>
      </c>
      <c r="H168">
        <f>stimuli_table[[#This Row],[n_colour1_left]]+stimuli_table[[#This Row],[n_colour2_left]]</f>
        <v>5</v>
      </c>
      <c r="I168" t="s">
        <v>33</v>
      </c>
      <c r="J168" t="s">
        <v>101</v>
      </c>
      <c r="K168" t="s">
        <v>29</v>
      </c>
      <c r="L168" t="s">
        <v>104</v>
      </c>
      <c r="M168" t="s">
        <v>41</v>
      </c>
      <c r="N168" s="4">
        <v>2</v>
      </c>
      <c r="O168" t="s">
        <v>103</v>
      </c>
      <c r="P168" t="s">
        <v>33</v>
      </c>
      <c r="Q168" t="s">
        <v>59</v>
      </c>
      <c r="R168">
        <v>1</v>
      </c>
      <c r="S168" t="s">
        <v>65</v>
      </c>
      <c r="T168">
        <v>4</v>
      </c>
      <c r="U168" t="s">
        <v>52</v>
      </c>
      <c r="V168" t="s">
        <v>59</v>
      </c>
      <c r="W168">
        <v>5</v>
      </c>
      <c r="X168" t="s">
        <v>65</v>
      </c>
      <c r="Y168">
        <v>1</v>
      </c>
    </row>
    <row r="169" spans="1:25" x14ac:dyDescent="0.25">
      <c r="A169" t="s">
        <v>200</v>
      </c>
      <c r="B169">
        <v>11</v>
      </c>
      <c r="C169">
        <v>4</v>
      </c>
      <c r="D169">
        <v>8</v>
      </c>
      <c r="E169" t="s">
        <v>42</v>
      </c>
      <c r="F169" t="s">
        <v>40</v>
      </c>
      <c r="G169">
        <v>3</v>
      </c>
      <c r="H169">
        <f>stimuli_table[[#This Row],[n_colour1_left]]+stimuli_table[[#This Row],[n_colour2_left]]</f>
        <v>5</v>
      </c>
      <c r="I169" t="s">
        <v>33</v>
      </c>
      <c r="J169" t="s">
        <v>101</v>
      </c>
      <c r="K169" t="s">
        <v>29</v>
      </c>
      <c r="L169" t="s">
        <v>104</v>
      </c>
      <c r="M169" t="s">
        <v>38</v>
      </c>
      <c r="N169" s="4">
        <v>3</v>
      </c>
      <c r="O169" t="s">
        <v>103</v>
      </c>
      <c r="P169" t="s">
        <v>33</v>
      </c>
      <c r="Q169" t="s">
        <v>59</v>
      </c>
      <c r="R169">
        <v>5</v>
      </c>
      <c r="S169" t="s">
        <v>65</v>
      </c>
      <c r="T169">
        <v>0</v>
      </c>
      <c r="U169" t="s">
        <v>52</v>
      </c>
      <c r="V169" t="s">
        <v>59</v>
      </c>
      <c r="W169">
        <v>5</v>
      </c>
      <c r="X169" t="s">
        <v>65</v>
      </c>
      <c r="Y169">
        <v>1</v>
      </c>
    </row>
    <row r="170" spans="1:25" x14ac:dyDescent="0.25">
      <c r="A170" t="s">
        <v>200</v>
      </c>
      <c r="B170">
        <v>11</v>
      </c>
      <c r="C170">
        <v>1</v>
      </c>
      <c r="D170">
        <v>9</v>
      </c>
      <c r="E170" t="s">
        <v>44</v>
      </c>
      <c r="F170" t="s">
        <v>26</v>
      </c>
      <c r="G170">
        <v>3</v>
      </c>
      <c r="H170">
        <f>stimuli_table[[#This Row],[n_colour1_left]]+stimuli_table[[#This Row],[n_colour2_left]]</f>
        <v>5</v>
      </c>
      <c r="I170" t="s">
        <v>33</v>
      </c>
      <c r="J170" t="s">
        <v>101</v>
      </c>
      <c r="K170" t="s">
        <v>29</v>
      </c>
      <c r="L170" t="s">
        <v>105</v>
      </c>
      <c r="M170" t="s">
        <v>31</v>
      </c>
      <c r="N170" s="1">
        <v>1</v>
      </c>
      <c r="O170" t="s">
        <v>103</v>
      </c>
      <c r="P170" t="s">
        <v>36</v>
      </c>
      <c r="Q170" t="s">
        <v>59</v>
      </c>
      <c r="R170">
        <v>3</v>
      </c>
      <c r="S170" t="s">
        <v>65</v>
      </c>
      <c r="T170">
        <v>2</v>
      </c>
      <c r="U170" t="s">
        <v>52</v>
      </c>
      <c r="V170" t="s">
        <v>59</v>
      </c>
      <c r="W170">
        <v>5</v>
      </c>
      <c r="X170" t="s">
        <v>65</v>
      </c>
      <c r="Y170">
        <v>1</v>
      </c>
    </row>
    <row r="171" spans="1:25" x14ac:dyDescent="0.25">
      <c r="A171" t="s">
        <v>200</v>
      </c>
      <c r="B171">
        <v>11</v>
      </c>
      <c r="C171">
        <v>2</v>
      </c>
      <c r="D171">
        <v>10</v>
      </c>
      <c r="E171" t="s">
        <v>44</v>
      </c>
      <c r="F171" t="s">
        <v>37</v>
      </c>
      <c r="G171">
        <v>3</v>
      </c>
      <c r="H171">
        <f>stimuli_table[[#This Row],[n_colour1_left]]+stimuli_table[[#This Row],[n_colour2_left]]</f>
        <v>5</v>
      </c>
      <c r="I171" t="s">
        <v>33</v>
      </c>
      <c r="J171" t="s">
        <v>101</v>
      </c>
      <c r="K171" t="s">
        <v>29</v>
      </c>
      <c r="L171" t="s">
        <v>105</v>
      </c>
      <c r="M171" t="s">
        <v>41</v>
      </c>
      <c r="N171" s="1">
        <v>2</v>
      </c>
      <c r="O171" t="s">
        <v>103</v>
      </c>
      <c r="P171" t="s">
        <v>33</v>
      </c>
      <c r="Q171" t="s">
        <v>59</v>
      </c>
      <c r="R171">
        <v>0</v>
      </c>
      <c r="S171" t="s">
        <v>65</v>
      </c>
      <c r="T171">
        <v>5</v>
      </c>
      <c r="U171" t="s">
        <v>52</v>
      </c>
      <c r="V171" t="s">
        <v>59</v>
      </c>
      <c r="W171">
        <v>5</v>
      </c>
      <c r="X171" t="s">
        <v>65</v>
      </c>
      <c r="Y171">
        <v>1</v>
      </c>
    </row>
    <row r="172" spans="1:25" x14ac:dyDescent="0.25">
      <c r="A172" t="s">
        <v>200</v>
      </c>
      <c r="B172">
        <v>11</v>
      </c>
      <c r="C172">
        <v>3</v>
      </c>
      <c r="D172">
        <v>11</v>
      </c>
      <c r="E172" t="s">
        <v>44</v>
      </c>
      <c r="F172" t="s">
        <v>39</v>
      </c>
      <c r="G172">
        <v>3</v>
      </c>
      <c r="H172">
        <f>stimuli_table[[#This Row],[n_colour1_left]]+stimuli_table[[#This Row],[n_colour2_left]]</f>
        <v>5</v>
      </c>
      <c r="I172" t="s">
        <v>33</v>
      </c>
      <c r="J172" t="s">
        <v>101</v>
      </c>
      <c r="K172" t="s">
        <v>29</v>
      </c>
      <c r="L172" t="s">
        <v>105</v>
      </c>
      <c r="M172" t="s">
        <v>41</v>
      </c>
      <c r="N172" s="1">
        <v>3</v>
      </c>
      <c r="O172" t="s">
        <v>103</v>
      </c>
      <c r="P172" t="s">
        <v>33</v>
      </c>
      <c r="Q172" t="s">
        <v>59</v>
      </c>
      <c r="R172">
        <v>1</v>
      </c>
      <c r="S172" t="s">
        <v>65</v>
      </c>
      <c r="T172">
        <v>4</v>
      </c>
      <c r="U172" t="s">
        <v>52</v>
      </c>
      <c r="V172" t="s">
        <v>59</v>
      </c>
      <c r="W172">
        <v>5</v>
      </c>
      <c r="X172" t="s">
        <v>65</v>
      </c>
      <c r="Y172">
        <v>1</v>
      </c>
    </row>
    <row r="173" spans="1:25" x14ac:dyDescent="0.25">
      <c r="A173" t="s">
        <v>200</v>
      </c>
      <c r="B173">
        <v>11</v>
      </c>
      <c r="C173">
        <v>4</v>
      </c>
      <c r="D173">
        <v>12</v>
      </c>
      <c r="E173" t="s">
        <v>44</v>
      </c>
      <c r="F173" t="s">
        <v>40</v>
      </c>
      <c r="G173">
        <v>3</v>
      </c>
      <c r="H173">
        <f>stimuli_table[[#This Row],[n_colour1_left]]+stimuli_table[[#This Row],[n_colour2_left]]</f>
        <v>5</v>
      </c>
      <c r="I173" t="s">
        <v>33</v>
      </c>
      <c r="J173" t="s">
        <v>101</v>
      </c>
      <c r="K173" t="s">
        <v>29</v>
      </c>
      <c r="L173" t="s">
        <v>105</v>
      </c>
      <c r="M173" t="s">
        <v>38</v>
      </c>
      <c r="N173" s="1">
        <v>4</v>
      </c>
      <c r="O173" t="s">
        <v>103</v>
      </c>
      <c r="P173" t="s">
        <v>33</v>
      </c>
      <c r="Q173" t="s">
        <v>59</v>
      </c>
      <c r="R173">
        <v>5</v>
      </c>
      <c r="S173" t="s">
        <v>65</v>
      </c>
      <c r="T173">
        <v>0</v>
      </c>
      <c r="U173" t="s">
        <v>52</v>
      </c>
      <c r="V173" t="s">
        <v>59</v>
      </c>
      <c r="W173">
        <v>5</v>
      </c>
      <c r="X173" t="s">
        <v>65</v>
      </c>
      <c r="Y173">
        <v>1</v>
      </c>
    </row>
    <row r="174" spans="1:25" x14ac:dyDescent="0.25">
      <c r="A174" t="s">
        <v>200</v>
      </c>
      <c r="B174">
        <v>11</v>
      </c>
      <c r="C174">
        <v>1</v>
      </c>
      <c r="D174">
        <v>13</v>
      </c>
      <c r="E174" t="s">
        <v>46</v>
      </c>
      <c r="F174" t="s">
        <v>26</v>
      </c>
      <c r="G174">
        <v>3</v>
      </c>
      <c r="H174">
        <f>stimuli_table[[#This Row],[n_colour1_left]]+stimuli_table[[#This Row],[n_colour2_left]]</f>
        <v>5</v>
      </c>
      <c r="I174" t="s">
        <v>33</v>
      </c>
      <c r="J174" t="s">
        <v>101</v>
      </c>
      <c r="K174" t="s">
        <v>29</v>
      </c>
      <c r="L174" t="s">
        <v>106</v>
      </c>
      <c r="M174" t="s">
        <v>31</v>
      </c>
      <c r="N174" s="2">
        <v>2</v>
      </c>
      <c r="O174" t="s">
        <v>103</v>
      </c>
      <c r="P174" t="s">
        <v>36</v>
      </c>
      <c r="Q174" t="s">
        <v>59</v>
      </c>
      <c r="R174">
        <v>3</v>
      </c>
      <c r="S174" t="s">
        <v>65</v>
      </c>
      <c r="T174">
        <v>2</v>
      </c>
      <c r="U174" t="s">
        <v>52</v>
      </c>
      <c r="V174" t="s">
        <v>59</v>
      </c>
      <c r="W174">
        <v>5</v>
      </c>
      <c r="X174" t="s">
        <v>65</v>
      </c>
      <c r="Y174">
        <v>1</v>
      </c>
    </row>
    <row r="175" spans="1:25" x14ac:dyDescent="0.25">
      <c r="A175" t="s">
        <v>200</v>
      </c>
      <c r="B175">
        <v>11</v>
      </c>
      <c r="C175">
        <v>2</v>
      </c>
      <c r="D175">
        <v>14</v>
      </c>
      <c r="E175" t="s">
        <v>46</v>
      </c>
      <c r="F175" t="s">
        <v>37</v>
      </c>
      <c r="G175">
        <v>3</v>
      </c>
      <c r="H175">
        <f>stimuli_table[[#This Row],[n_colour1_left]]+stimuli_table[[#This Row],[n_colour2_left]]</f>
        <v>5</v>
      </c>
      <c r="I175" t="s">
        <v>33</v>
      </c>
      <c r="J175" t="s">
        <v>101</v>
      </c>
      <c r="K175" t="s">
        <v>29</v>
      </c>
      <c r="L175" t="s">
        <v>106</v>
      </c>
      <c r="M175" t="s">
        <v>38</v>
      </c>
      <c r="N175" s="2">
        <v>3</v>
      </c>
      <c r="O175" t="s">
        <v>103</v>
      </c>
      <c r="P175" t="s">
        <v>33</v>
      </c>
      <c r="Q175" t="s">
        <v>59</v>
      </c>
      <c r="R175">
        <v>0</v>
      </c>
      <c r="S175" t="s">
        <v>65</v>
      </c>
      <c r="T175">
        <v>5</v>
      </c>
      <c r="U175" t="s">
        <v>52</v>
      </c>
      <c r="V175" t="s">
        <v>59</v>
      </c>
      <c r="W175">
        <v>5</v>
      </c>
      <c r="X175" t="s">
        <v>65</v>
      </c>
      <c r="Y175">
        <v>1</v>
      </c>
    </row>
    <row r="176" spans="1:25" x14ac:dyDescent="0.25">
      <c r="A176" t="s">
        <v>200</v>
      </c>
      <c r="B176">
        <v>11</v>
      </c>
      <c r="C176">
        <v>3</v>
      </c>
      <c r="D176">
        <v>15</v>
      </c>
      <c r="E176" t="s">
        <v>46</v>
      </c>
      <c r="F176" t="s">
        <v>39</v>
      </c>
      <c r="G176">
        <v>3</v>
      </c>
      <c r="H176">
        <f>stimuli_table[[#This Row],[n_colour1_left]]+stimuli_table[[#This Row],[n_colour2_left]]</f>
        <v>5</v>
      </c>
      <c r="I176" t="s">
        <v>33</v>
      </c>
      <c r="J176" t="s">
        <v>101</v>
      </c>
      <c r="K176" t="s">
        <v>29</v>
      </c>
      <c r="L176" t="s">
        <v>106</v>
      </c>
      <c r="M176" t="s">
        <v>41</v>
      </c>
      <c r="N176" s="2">
        <v>4</v>
      </c>
      <c r="O176" t="s">
        <v>103</v>
      </c>
      <c r="P176" t="s">
        <v>33</v>
      </c>
      <c r="Q176" t="s">
        <v>59</v>
      </c>
      <c r="R176">
        <v>1</v>
      </c>
      <c r="S176" t="s">
        <v>65</v>
      </c>
      <c r="T176">
        <v>4</v>
      </c>
      <c r="U176" t="s">
        <v>52</v>
      </c>
      <c r="V176" t="s">
        <v>59</v>
      </c>
      <c r="W176">
        <v>5</v>
      </c>
      <c r="X176" t="s">
        <v>65</v>
      </c>
      <c r="Y176">
        <v>1</v>
      </c>
    </row>
    <row r="177" spans="1:25" x14ac:dyDescent="0.25">
      <c r="A177" t="s">
        <v>200</v>
      </c>
      <c r="B177">
        <v>11</v>
      </c>
      <c r="C177">
        <v>4</v>
      </c>
      <c r="D177">
        <v>16</v>
      </c>
      <c r="E177" t="s">
        <v>46</v>
      </c>
      <c r="F177" t="s">
        <v>40</v>
      </c>
      <c r="G177">
        <v>3</v>
      </c>
      <c r="H177">
        <f>stimuli_table[[#This Row],[n_colour1_left]]+stimuli_table[[#This Row],[n_colour2_left]]</f>
        <v>5</v>
      </c>
      <c r="I177" t="s">
        <v>33</v>
      </c>
      <c r="J177" t="s">
        <v>101</v>
      </c>
      <c r="K177" t="s">
        <v>29</v>
      </c>
      <c r="L177" t="s">
        <v>106</v>
      </c>
      <c r="M177" t="s">
        <v>41</v>
      </c>
      <c r="N177" s="2">
        <v>1</v>
      </c>
      <c r="O177" t="s">
        <v>103</v>
      </c>
      <c r="P177" t="s">
        <v>33</v>
      </c>
      <c r="Q177" t="s">
        <v>59</v>
      </c>
      <c r="R177">
        <v>5</v>
      </c>
      <c r="S177" t="s">
        <v>65</v>
      </c>
      <c r="T177">
        <v>0</v>
      </c>
      <c r="U177" t="s">
        <v>52</v>
      </c>
      <c r="V177" t="s">
        <v>59</v>
      </c>
      <c r="W177">
        <v>5</v>
      </c>
      <c r="X177" t="s">
        <v>65</v>
      </c>
      <c r="Y177">
        <v>1</v>
      </c>
    </row>
    <row r="178" spans="1:25" x14ac:dyDescent="0.25">
      <c r="A178" t="s">
        <v>200</v>
      </c>
      <c r="B178">
        <v>12</v>
      </c>
      <c r="C178">
        <v>1</v>
      </c>
      <c r="D178">
        <v>1</v>
      </c>
      <c r="E178" t="s">
        <v>25</v>
      </c>
      <c r="F178" t="s">
        <v>26</v>
      </c>
      <c r="G178">
        <v>4</v>
      </c>
      <c r="H178">
        <f>stimuli_table[[#This Row],[n_colour1_left]]+stimuli_table[[#This Row],[n_colour2_left]]</f>
        <v>6</v>
      </c>
      <c r="I178" t="s">
        <v>52</v>
      </c>
      <c r="J178" t="s">
        <v>56</v>
      </c>
      <c r="K178" t="s">
        <v>29</v>
      </c>
      <c r="L178" t="s">
        <v>107</v>
      </c>
      <c r="M178" t="s">
        <v>31</v>
      </c>
      <c r="N178" s="4">
        <v>4</v>
      </c>
      <c r="O178" t="s">
        <v>103</v>
      </c>
      <c r="P178" t="s">
        <v>50</v>
      </c>
      <c r="Q178" t="s">
        <v>58</v>
      </c>
      <c r="R178">
        <v>3</v>
      </c>
      <c r="S178" t="s">
        <v>72</v>
      </c>
      <c r="T178">
        <v>3</v>
      </c>
      <c r="U178" t="s">
        <v>33</v>
      </c>
      <c r="V178" t="s">
        <v>58</v>
      </c>
      <c r="W178">
        <v>6</v>
      </c>
      <c r="X178" t="s">
        <v>72</v>
      </c>
      <c r="Y178">
        <v>2</v>
      </c>
    </row>
    <row r="179" spans="1:25" x14ac:dyDescent="0.25">
      <c r="A179" t="s">
        <v>200</v>
      </c>
      <c r="B179">
        <v>12</v>
      </c>
      <c r="C179">
        <v>2</v>
      </c>
      <c r="D179">
        <v>2</v>
      </c>
      <c r="E179" t="s">
        <v>25</v>
      </c>
      <c r="F179" t="s">
        <v>37</v>
      </c>
      <c r="G179">
        <v>4</v>
      </c>
      <c r="H179">
        <f>stimuli_table[[#This Row],[n_colour1_left]]+stimuli_table[[#This Row],[n_colour2_left]]</f>
        <v>6</v>
      </c>
      <c r="I179" t="s">
        <v>52</v>
      </c>
      <c r="J179" t="s">
        <v>56</v>
      </c>
      <c r="K179" t="s">
        <v>29</v>
      </c>
      <c r="L179" t="s">
        <v>107</v>
      </c>
      <c r="M179" t="s">
        <v>38</v>
      </c>
      <c r="N179" s="4">
        <v>1</v>
      </c>
      <c r="O179" t="s">
        <v>103</v>
      </c>
      <c r="P179" t="s">
        <v>52</v>
      </c>
      <c r="Q179" t="s">
        <v>58</v>
      </c>
      <c r="R179">
        <v>0</v>
      </c>
      <c r="S179" t="s">
        <v>72</v>
      </c>
      <c r="T179">
        <v>6</v>
      </c>
      <c r="U179" t="s">
        <v>33</v>
      </c>
      <c r="V179" t="s">
        <v>58</v>
      </c>
      <c r="W179">
        <v>6</v>
      </c>
      <c r="X179" t="s">
        <v>72</v>
      </c>
      <c r="Y179">
        <v>2</v>
      </c>
    </row>
    <row r="180" spans="1:25" x14ac:dyDescent="0.25">
      <c r="A180" t="s">
        <v>200</v>
      </c>
      <c r="B180">
        <v>12</v>
      </c>
      <c r="C180">
        <v>3</v>
      </c>
      <c r="D180">
        <v>3</v>
      </c>
      <c r="E180" t="s">
        <v>25</v>
      </c>
      <c r="F180" t="s">
        <v>39</v>
      </c>
      <c r="G180">
        <v>4</v>
      </c>
      <c r="H180">
        <f>stimuli_table[[#This Row],[n_colour1_left]]+stimuli_table[[#This Row],[n_colour2_left]]</f>
        <v>6</v>
      </c>
      <c r="I180" t="s">
        <v>52</v>
      </c>
      <c r="J180" t="s">
        <v>56</v>
      </c>
      <c r="K180" t="s">
        <v>29</v>
      </c>
      <c r="L180" t="s">
        <v>107</v>
      </c>
      <c r="M180" t="s">
        <v>38</v>
      </c>
      <c r="N180" s="4">
        <v>2</v>
      </c>
      <c r="O180" t="s">
        <v>103</v>
      </c>
      <c r="P180" t="s">
        <v>52</v>
      </c>
      <c r="Q180" t="s">
        <v>58</v>
      </c>
      <c r="R180">
        <v>1</v>
      </c>
      <c r="S180" t="s">
        <v>72</v>
      </c>
      <c r="T180">
        <v>5</v>
      </c>
      <c r="U180" t="s">
        <v>33</v>
      </c>
      <c r="V180" t="s">
        <v>58</v>
      </c>
      <c r="W180">
        <v>6</v>
      </c>
      <c r="X180" t="s">
        <v>72</v>
      </c>
      <c r="Y180">
        <v>2</v>
      </c>
    </row>
    <row r="181" spans="1:25" x14ac:dyDescent="0.25">
      <c r="A181" t="s">
        <v>200</v>
      </c>
      <c r="B181">
        <v>12</v>
      </c>
      <c r="C181">
        <v>4</v>
      </c>
      <c r="D181">
        <v>4</v>
      </c>
      <c r="E181" t="s">
        <v>25</v>
      </c>
      <c r="F181" t="s">
        <v>40</v>
      </c>
      <c r="G181">
        <v>4</v>
      </c>
      <c r="H181">
        <f>stimuli_table[[#This Row],[n_colour1_left]]+stimuli_table[[#This Row],[n_colour2_left]]</f>
        <v>6</v>
      </c>
      <c r="I181" t="s">
        <v>52</v>
      </c>
      <c r="J181" t="s">
        <v>56</v>
      </c>
      <c r="K181" t="s">
        <v>29</v>
      </c>
      <c r="L181" t="s">
        <v>107</v>
      </c>
      <c r="M181" t="s">
        <v>41</v>
      </c>
      <c r="N181" s="4">
        <v>3</v>
      </c>
      <c r="O181" t="s">
        <v>103</v>
      </c>
      <c r="P181" t="s">
        <v>52</v>
      </c>
      <c r="Q181" t="s">
        <v>58</v>
      </c>
      <c r="R181">
        <v>6</v>
      </c>
      <c r="S181" t="s">
        <v>72</v>
      </c>
      <c r="T181">
        <v>0</v>
      </c>
      <c r="U181" t="s">
        <v>33</v>
      </c>
      <c r="V181" t="s">
        <v>58</v>
      </c>
      <c r="W181">
        <v>6</v>
      </c>
      <c r="X181" t="s">
        <v>72</v>
      </c>
      <c r="Y181">
        <v>2</v>
      </c>
    </row>
    <row r="182" spans="1:25" x14ac:dyDescent="0.25">
      <c r="A182" t="s">
        <v>200</v>
      </c>
      <c r="B182">
        <v>12</v>
      </c>
      <c r="C182">
        <v>1</v>
      </c>
      <c r="D182">
        <v>5</v>
      </c>
      <c r="E182" t="s">
        <v>42</v>
      </c>
      <c r="F182" t="s">
        <v>26</v>
      </c>
      <c r="G182">
        <v>4</v>
      </c>
      <c r="H182">
        <f>stimuli_table[[#This Row],[n_colour1_left]]+stimuli_table[[#This Row],[n_colour2_left]]</f>
        <v>6</v>
      </c>
      <c r="I182" t="s">
        <v>52</v>
      </c>
      <c r="J182" t="s">
        <v>56</v>
      </c>
      <c r="K182" t="s">
        <v>29</v>
      </c>
      <c r="L182" t="s">
        <v>108</v>
      </c>
      <c r="M182" t="s">
        <v>31</v>
      </c>
      <c r="N182" s="1">
        <v>1</v>
      </c>
      <c r="O182" t="s">
        <v>103</v>
      </c>
      <c r="P182" t="s">
        <v>50</v>
      </c>
      <c r="Q182" t="s">
        <v>58</v>
      </c>
      <c r="R182">
        <v>3</v>
      </c>
      <c r="S182" t="s">
        <v>72</v>
      </c>
      <c r="T182">
        <v>3</v>
      </c>
      <c r="U182" t="s">
        <v>33</v>
      </c>
      <c r="V182" t="s">
        <v>58</v>
      </c>
      <c r="W182">
        <v>6</v>
      </c>
      <c r="X182" t="s">
        <v>72</v>
      </c>
      <c r="Y182">
        <v>2</v>
      </c>
    </row>
    <row r="183" spans="1:25" x14ac:dyDescent="0.25">
      <c r="A183" t="s">
        <v>200</v>
      </c>
      <c r="B183">
        <v>12</v>
      </c>
      <c r="C183">
        <v>2</v>
      </c>
      <c r="D183">
        <v>6</v>
      </c>
      <c r="E183" t="s">
        <v>42</v>
      </c>
      <c r="F183" t="s">
        <v>37</v>
      </c>
      <c r="G183">
        <v>4</v>
      </c>
      <c r="H183">
        <f>stimuli_table[[#This Row],[n_colour1_left]]+stimuli_table[[#This Row],[n_colour2_left]]</f>
        <v>6</v>
      </c>
      <c r="I183" t="s">
        <v>52</v>
      </c>
      <c r="J183" t="s">
        <v>56</v>
      </c>
      <c r="K183" t="s">
        <v>29</v>
      </c>
      <c r="L183" t="s">
        <v>108</v>
      </c>
      <c r="M183" t="s">
        <v>41</v>
      </c>
      <c r="N183" s="1">
        <v>2</v>
      </c>
      <c r="O183" t="s">
        <v>103</v>
      </c>
      <c r="P183" t="s">
        <v>52</v>
      </c>
      <c r="Q183" t="s">
        <v>58</v>
      </c>
      <c r="R183">
        <v>0</v>
      </c>
      <c r="S183" t="s">
        <v>72</v>
      </c>
      <c r="T183">
        <v>6</v>
      </c>
      <c r="U183" t="s">
        <v>33</v>
      </c>
      <c r="V183" t="s">
        <v>58</v>
      </c>
      <c r="W183">
        <v>6</v>
      </c>
      <c r="X183" t="s">
        <v>72</v>
      </c>
      <c r="Y183">
        <v>2</v>
      </c>
    </row>
    <row r="184" spans="1:25" x14ac:dyDescent="0.25">
      <c r="A184" t="s">
        <v>200</v>
      </c>
      <c r="B184">
        <v>12</v>
      </c>
      <c r="C184">
        <v>3</v>
      </c>
      <c r="D184">
        <v>7</v>
      </c>
      <c r="E184" t="s">
        <v>42</v>
      </c>
      <c r="F184" t="s">
        <v>39</v>
      </c>
      <c r="G184">
        <v>4</v>
      </c>
      <c r="H184">
        <f>stimuli_table[[#This Row],[n_colour1_left]]+stimuli_table[[#This Row],[n_colour2_left]]</f>
        <v>6</v>
      </c>
      <c r="I184" t="s">
        <v>52</v>
      </c>
      <c r="J184" t="s">
        <v>56</v>
      </c>
      <c r="K184" t="s">
        <v>29</v>
      </c>
      <c r="L184" t="s">
        <v>108</v>
      </c>
      <c r="M184" t="s">
        <v>41</v>
      </c>
      <c r="N184" s="1">
        <v>3</v>
      </c>
      <c r="O184" t="s">
        <v>103</v>
      </c>
      <c r="P184" t="s">
        <v>52</v>
      </c>
      <c r="Q184" t="s">
        <v>58</v>
      </c>
      <c r="R184">
        <v>1</v>
      </c>
      <c r="S184" t="s">
        <v>72</v>
      </c>
      <c r="T184">
        <v>5</v>
      </c>
      <c r="U184" t="s">
        <v>33</v>
      </c>
      <c r="V184" t="s">
        <v>58</v>
      </c>
      <c r="W184">
        <v>6</v>
      </c>
      <c r="X184" t="s">
        <v>72</v>
      </c>
      <c r="Y184">
        <v>2</v>
      </c>
    </row>
    <row r="185" spans="1:25" x14ac:dyDescent="0.25">
      <c r="A185" t="s">
        <v>200</v>
      </c>
      <c r="B185">
        <v>12</v>
      </c>
      <c r="C185">
        <v>4</v>
      </c>
      <c r="D185">
        <v>8</v>
      </c>
      <c r="E185" t="s">
        <v>42</v>
      </c>
      <c r="F185" t="s">
        <v>40</v>
      </c>
      <c r="G185">
        <v>4</v>
      </c>
      <c r="H185">
        <f>stimuli_table[[#This Row],[n_colour1_left]]+stimuli_table[[#This Row],[n_colour2_left]]</f>
        <v>6</v>
      </c>
      <c r="I185" t="s">
        <v>52</v>
      </c>
      <c r="J185" t="s">
        <v>56</v>
      </c>
      <c r="K185" t="s">
        <v>29</v>
      </c>
      <c r="L185" t="s">
        <v>108</v>
      </c>
      <c r="M185" t="s">
        <v>38</v>
      </c>
      <c r="N185" s="1">
        <v>4</v>
      </c>
      <c r="O185" t="s">
        <v>103</v>
      </c>
      <c r="P185" t="s">
        <v>52</v>
      </c>
      <c r="Q185" t="s">
        <v>58</v>
      </c>
      <c r="R185">
        <v>6</v>
      </c>
      <c r="S185" t="s">
        <v>72</v>
      </c>
      <c r="T185">
        <v>0</v>
      </c>
      <c r="U185" t="s">
        <v>33</v>
      </c>
      <c r="V185" t="s">
        <v>58</v>
      </c>
      <c r="W185">
        <v>6</v>
      </c>
      <c r="X185" t="s">
        <v>72</v>
      </c>
      <c r="Y185">
        <v>2</v>
      </c>
    </row>
    <row r="186" spans="1:25" x14ac:dyDescent="0.25">
      <c r="A186" t="s">
        <v>200</v>
      </c>
      <c r="B186">
        <v>12</v>
      </c>
      <c r="C186">
        <v>1</v>
      </c>
      <c r="D186">
        <v>9</v>
      </c>
      <c r="E186" t="s">
        <v>44</v>
      </c>
      <c r="F186" t="s">
        <v>26</v>
      </c>
      <c r="G186">
        <v>4</v>
      </c>
      <c r="H186">
        <f>stimuli_table[[#This Row],[n_colour1_left]]+stimuli_table[[#This Row],[n_colour2_left]]</f>
        <v>6</v>
      </c>
      <c r="I186" t="s">
        <v>52</v>
      </c>
      <c r="J186" t="s">
        <v>56</v>
      </c>
      <c r="K186" t="s">
        <v>29</v>
      </c>
      <c r="L186" t="s">
        <v>109</v>
      </c>
      <c r="M186" t="s">
        <v>31</v>
      </c>
      <c r="N186" s="2">
        <v>2</v>
      </c>
      <c r="O186" t="s">
        <v>103</v>
      </c>
      <c r="P186" t="s">
        <v>50</v>
      </c>
      <c r="Q186" t="s">
        <v>58</v>
      </c>
      <c r="R186">
        <v>3</v>
      </c>
      <c r="S186" t="s">
        <v>72</v>
      </c>
      <c r="T186">
        <v>3</v>
      </c>
      <c r="U186" t="s">
        <v>33</v>
      </c>
      <c r="V186" t="s">
        <v>58</v>
      </c>
      <c r="W186">
        <v>6</v>
      </c>
      <c r="X186" t="s">
        <v>72</v>
      </c>
      <c r="Y186">
        <v>2</v>
      </c>
    </row>
    <row r="187" spans="1:25" x14ac:dyDescent="0.25">
      <c r="A187" t="s">
        <v>200</v>
      </c>
      <c r="B187">
        <v>12</v>
      </c>
      <c r="C187">
        <v>2</v>
      </c>
      <c r="D187">
        <v>10</v>
      </c>
      <c r="E187" t="s">
        <v>44</v>
      </c>
      <c r="F187" t="s">
        <v>37</v>
      </c>
      <c r="G187">
        <v>4</v>
      </c>
      <c r="H187">
        <f>stimuli_table[[#This Row],[n_colour1_left]]+stimuli_table[[#This Row],[n_colour2_left]]</f>
        <v>6</v>
      </c>
      <c r="I187" t="s">
        <v>52</v>
      </c>
      <c r="J187" t="s">
        <v>56</v>
      </c>
      <c r="K187" t="s">
        <v>29</v>
      </c>
      <c r="L187" t="s">
        <v>109</v>
      </c>
      <c r="M187" t="s">
        <v>41</v>
      </c>
      <c r="N187" s="2">
        <v>3</v>
      </c>
      <c r="O187" t="s">
        <v>103</v>
      </c>
      <c r="P187" t="s">
        <v>52</v>
      </c>
      <c r="Q187" t="s">
        <v>58</v>
      </c>
      <c r="R187">
        <v>0</v>
      </c>
      <c r="S187" t="s">
        <v>72</v>
      </c>
      <c r="T187">
        <v>6</v>
      </c>
      <c r="U187" t="s">
        <v>33</v>
      </c>
      <c r="V187" t="s">
        <v>58</v>
      </c>
      <c r="W187">
        <v>6</v>
      </c>
      <c r="X187" t="s">
        <v>72</v>
      </c>
      <c r="Y187">
        <v>2</v>
      </c>
    </row>
    <row r="188" spans="1:25" x14ac:dyDescent="0.25">
      <c r="A188" t="s">
        <v>200</v>
      </c>
      <c r="B188">
        <v>12</v>
      </c>
      <c r="C188">
        <v>3</v>
      </c>
      <c r="D188">
        <v>11</v>
      </c>
      <c r="E188" t="s">
        <v>44</v>
      </c>
      <c r="F188" t="s">
        <v>39</v>
      </c>
      <c r="G188">
        <v>4</v>
      </c>
      <c r="H188">
        <f>stimuli_table[[#This Row],[n_colour1_left]]+stimuli_table[[#This Row],[n_colour2_left]]</f>
        <v>6</v>
      </c>
      <c r="I188" t="s">
        <v>52</v>
      </c>
      <c r="J188" t="s">
        <v>56</v>
      </c>
      <c r="K188" t="s">
        <v>29</v>
      </c>
      <c r="L188" t="s">
        <v>109</v>
      </c>
      <c r="M188" t="s">
        <v>41</v>
      </c>
      <c r="N188" s="2">
        <v>4</v>
      </c>
      <c r="O188" t="s">
        <v>103</v>
      </c>
      <c r="P188" t="s">
        <v>52</v>
      </c>
      <c r="Q188" t="s">
        <v>58</v>
      </c>
      <c r="R188">
        <v>1</v>
      </c>
      <c r="S188" t="s">
        <v>72</v>
      </c>
      <c r="T188">
        <v>5</v>
      </c>
      <c r="U188" t="s">
        <v>33</v>
      </c>
      <c r="V188" t="s">
        <v>58</v>
      </c>
      <c r="W188">
        <v>6</v>
      </c>
      <c r="X188" t="s">
        <v>72</v>
      </c>
      <c r="Y188">
        <v>2</v>
      </c>
    </row>
    <row r="189" spans="1:25" x14ac:dyDescent="0.25">
      <c r="A189" t="s">
        <v>200</v>
      </c>
      <c r="B189">
        <v>12</v>
      </c>
      <c r="C189">
        <v>4</v>
      </c>
      <c r="D189">
        <v>12</v>
      </c>
      <c r="E189" t="s">
        <v>44</v>
      </c>
      <c r="F189" t="s">
        <v>40</v>
      </c>
      <c r="G189">
        <v>4</v>
      </c>
      <c r="H189">
        <f>stimuli_table[[#This Row],[n_colour1_left]]+stimuli_table[[#This Row],[n_colour2_left]]</f>
        <v>6</v>
      </c>
      <c r="I189" t="s">
        <v>52</v>
      </c>
      <c r="J189" t="s">
        <v>56</v>
      </c>
      <c r="K189" t="s">
        <v>29</v>
      </c>
      <c r="L189" t="s">
        <v>109</v>
      </c>
      <c r="M189" t="s">
        <v>38</v>
      </c>
      <c r="N189" s="2">
        <v>1</v>
      </c>
      <c r="O189" t="s">
        <v>103</v>
      </c>
      <c r="P189" t="s">
        <v>52</v>
      </c>
      <c r="Q189" t="s">
        <v>58</v>
      </c>
      <c r="R189">
        <v>6</v>
      </c>
      <c r="S189" t="s">
        <v>72</v>
      </c>
      <c r="T189">
        <v>0</v>
      </c>
      <c r="U189" t="s">
        <v>33</v>
      </c>
      <c r="V189" t="s">
        <v>58</v>
      </c>
      <c r="W189">
        <v>6</v>
      </c>
      <c r="X189" t="s">
        <v>72</v>
      </c>
      <c r="Y189">
        <v>2</v>
      </c>
    </row>
    <row r="190" spans="1:25" x14ac:dyDescent="0.25">
      <c r="A190" t="s">
        <v>200</v>
      </c>
      <c r="B190">
        <v>12</v>
      </c>
      <c r="C190">
        <v>1</v>
      </c>
      <c r="D190">
        <v>13</v>
      </c>
      <c r="E190" t="s">
        <v>46</v>
      </c>
      <c r="F190" t="s">
        <v>26</v>
      </c>
      <c r="G190">
        <v>4</v>
      </c>
      <c r="H190">
        <f>stimuli_table[[#This Row],[n_colour1_left]]+stimuli_table[[#This Row],[n_colour2_left]]</f>
        <v>6</v>
      </c>
      <c r="I190" t="s">
        <v>52</v>
      </c>
      <c r="J190" t="s">
        <v>56</v>
      </c>
      <c r="K190" t="s">
        <v>29</v>
      </c>
      <c r="L190" t="s">
        <v>110</v>
      </c>
      <c r="M190" t="s">
        <v>31</v>
      </c>
      <c r="N190" s="3">
        <v>3</v>
      </c>
      <c r="O190" t="s">
        <v>103</v>
      </c>
      <c r="P190" t="s">
        <v>50</v>
      </c>
      <c r="Q190" t="s">
        <v>58</v>
      </c>
      <c r="R190">
        <v>3</v>
      </c>
      <c r="S190" t="s">
        <v>72</v>
      </c>
      <c r="T190">
        <v>3</v>
      </c>
      <c r="U190" t="s">
        <v>33</v>
      </c>
      <c r="V190" t="s">
        <v>58</v>
      </c>
      <c r="W190">
        <v>6</v>
      </c>
      <c r="X190" t="s">
        <v>72</v>
      </c>
      <c r="Y190">
        <v>2</v>
      </c>
    </row>
    <row r="191" spans="1:25" x14ac:dyDescent="0.25">
      <c r="A191" t="s">
        <v>200</v>
      </c>
      <c r="B191">
        <v>12</v>
      </c>
      <c r="C191">
        <v>2</v>
      </c>
      <c r="D191">
        <v>14</v>
      </c>
      <c r="E191" t="s">
        <v>46</v>
      </c>
      <c r="F191" t="s">
        <v>37</v>
      </c>
      <c r="G191">
        <v>4</v>
      </c>
      <c r="H191">
        <f>stimuli_table[[#This Row],[n_colour1_left]]+stimuli_table[[#This Row],[n_colour2_left]]</f>
        <v>6</v>
      </c>
      <c r="I191" t="s">
        <v>52</v>
      </c>
      <c r="J191" t="s">
        <v>56</v>
      </c>
      <c r="K191" t="s">
        <v>29</v>
      </c>
      <c r="L191" t="s">
        <v>110</v>
      </c>
      <c r="M191" t="s">
        <v>38</v>
      </c>
      <c r="N191" s="3">
        <v>4</v>
      </c>
      <c r="O191" t="s">
        <v>103</v>
      </c>
      <c r="P191" t="s">
        <v>52</v>
      </c>
      <c r="Q191" t="s">
        <v>58</v>
      </c>
      <c r="R191">
        <v>0</v>
      </c>
      <c r="S191" t="s">
        <v>72</v>
      </c>
      <c r="T191">
        <v>6</v>
      </c>
      <c r="U191" t="s">
        <v>33</v>
      </c>
      <c r="V191" t="s">
        <v>58</v>
      </c>
      <c r="W191">
        <v>6</v>
      </c>
      <c r="X191" t="s">
        <v>72</v>
      </c>
      <c r="Y191">
        <v>2</v>
      </c>
    </row>
    <row r="192" spans="1:25" x14ac:dyDescent="0.25">
      <c r="A192" t="s">
        <v>200</v>
      </c>
      <c r="B192">
        <v>12</v>
      </c>
      <c r="C192">
        <v>3</v>
      </c>
      <c r="D192">
        <v>15</v>
      </c>
      <c r="E192" t="s">
        <v>46</v>
      </c>
      <c r="F192" t="s">
        <v>39</v>
      </c>
      <c r="G192">
        <v>4</v>
      </c>
      <c r="H192">
        <f>stimuli_table[[#This Row],[n_colour1_left]]+stimuli_table[[#This Row],[n_colour2_left]]</f>
        <v>6</v>
      </c>
      <c r="I192" t="s">
        <v>52</v>
      </c>
      <c r="J192" t="s">
        <v>56</v>
      </c>
      <c r="K192" t="s">
        <v>29</v>
      </c>
      <c r="L192" t="s">
        <v>110</v>
      </c>
      <c r="M192" t="s">
        <v>41</v>
      </c>
      <c r="N192" s="3">
        <v>1</v>
      </c>
      <c r="O192" t="s">
        <v>103</v>
      </c>
      <c r="P192" t="s">
        <v>52</v>
      </c>
      <c r="Q192" t="s">
        <v>58</v>
      </c>
      <c r="R192">
        <v>1</v>
      </c>
      <c r="S192" t="s">
        <v>72</v>
      </c>
      <c r="T192">
        <v>5</v>
      </c>
      <c r="U192" t="s">
        <v>33</v>
      </c>
      <c r="V192" t="s">
        <v>58</v>
      </c>
      <c r="W192">
        <v>6</v>
      </c>
      <c r="X192" t="s">
        <v>72</v>
      </c>
      <c r="Y192">
        <v>2</v>
      </c>
    </row>
    <row r="193" spans="1:25" x14ac:dyDescent="0.25">
      <c r="A193" t="s">
        <v>200</v>
      </c>
      <c r="B193">
        <v>12</v>
      </c>
      <c r="C193">
        <v>4</v>
      </c>
      <c r="D193">
        <v>16</v>
      </c>
      <c r="E193" t="s">
        <v>46</v>
      </c>
      <c r="F193" t="s">
        <v>40</v>
      </c>
      <c r="G193">
        <v>4</v>
      </c>
      <c r="H193">
        <f>stimuli_table[[#This Row],[n_colour1_left]]+stimuli_table[[#This Row],[n_colour2_left]]</f>
        <v>6</v>
      </c>
      <c r="I193" t="s">
        <v>52</v>
      </c>
      <c r="J193" t="s">
        <v>56</v>
      </c>
      <c r="K193" t="s">
        <v>29</v>
      </c>
      <c r="L193" t="s">
        <v>110</v>
      </c>
      <c r="M193" t="s">
        <v>41</v>
      </c>
      <c r="N193" s="3">
        <v>2</v>
      </c>
      <c r="O193" t="s">
        <v>103</v>
      </c>
      <c r="P193" t="s">
        <v>52</v>
      </c>
      <c r="Q193" t="s">
        <v>58</v>
      </c>
      <c r="R193">
        <v>6</v>
      </c>
      <c r="S193" t="s">
        <v>72</v>
      </c>
      <c r="T193">
        <v>0</v>
      </c>
      <c r="U193" t="s">
        <v>33</v>
      </c>
      <c r="V193" t="s">
        <v>58</v>
      </c>
      <c r="W193">
        <v>6</v>
      </c>
      <c r="X193" t="s">
        <v>72</v>
      </c>
      <c r="Y193">
        <v>2</v>
      </c>
    </row>
    <row r="194" spans="1:25" x14ac:dyDescent="0.25">
      <c r="A194" t="s">
        <v>200</v>
      </c>
      <c r="B194">
        <v>13</v>
      </c>
      <c r="C194">
        <v>1</v>
      </c>
      <c r="D194">
        <v>1</v>
      </c>
      <c r="E194" t="s">
        <v>25</v>
      </c>
      <c r="F194" t="s">
        <v>26</v>
      </c>
      <c r="G194">
        <v>3</v>
      </c>
      <c r="H194">
        <f>stimuli_table[[#This Row],[n_colour1_left]]+stimuli_table[[#This Row],[n_colour2_left]]</f>
        <v>5</v>
      </c>
      <c r="I194" t="s">
        <v>36</v>
      </c>
      <c r="J194" t="s">
        <v>82</v>
      </c>
      <c r="K194" t="s">
        <v>29</v>
      </c>
      <c r="L194" t="s">
        <v>111</v>
      </c>
      <c r="M194" t="s">
        <v>31</v>
      </c>
      <c r="N194" s="1">
        <v>1</v>
      </c>
      <c r="O194" t="s">
        <v>103</v>
      </c>
      <c r="P194" t="s">
        <v>27</v>
      </c>
      <c r="Q194" t="s">
        <v>84</v>
      </c>
      <c r="R194">
        <v>3</v>
      </c>
      <c r="S194" t="s">
        <v>78</v>
      </c>
      <c r="T194">
        <v>2</v>
      </c>
      <c r="U194" t="s">
        <v>50</v>
      </c>
      <c r="V194" t="s">
        <v>84</v>
      </c>
      <c r="W194">
        <v>3</v>
      </c>
      <c r="X194" t="s">
        <v>78</v>
      </c>
      <c r="Y194">
        <v>5</v>
      </c>
    </row>
    <row r="195" spans="1:25" x14ac:dyDescent="0.25">
      <c r="A195" t="s">
        <v>200</v>
      </c>
      <c r="B195">
        <v>13</v>
      </c>
      <c r="C195">
        <v>2</v>
      </c>
      <c r="D195">
        <v>2</v>
      </c>
      <c r="E195" t="s">
        <v>25</v>
      </c>
      <c r="F195" t="s">
        <v>37</v>
      </c>
      <c r="G195">
        <v>3</v>
      </c>
      <c r="H195">
        <f>stimuli_table[[#This Row],[n_colour1_left]]+stimuli_table[[#This Row],[n_colour2_left]]</f>
        <v>5</v>
      </c>
      <c r="I195" t="s">
        <v>36</v>
      </c>
      <c r="J195" t="s">
        <v>82</v>
      </c>
      <c r="K195" t="s">
        <v>29</v>
      </c>
      <c r="L195" t="s">
        <v>111</v>
      </c>
      <c r="M195" t="s">
        <v>38</v>
      </c>
      <c r="N195" s="1">
        <v>2</v>
      </c>
      <c r="O195" t="s">
        <v>103</v>
      </c>
      <c r="P195" t="s">
        <v>36</v>
      </c>
      <c r="Q195" t="s">
        <v>84</v>
      </c>
      <c r="R195">
        <v>0</v>
      </c>
      <c r="S195" t="s">
        <v>78</v>
      </c>
      <c r="T195">
        <v>5</v>
      </c>
      <c r="U195" t="s">
        <v>50</v>
      </c>
      <c r="V195" t="s">
        <v>84</v>
      </c>
      <c r="W195">
        <v>3</v>
      </c>
      <c r="X195" t="s">
        <v>78</v>
      </c>
      <c r="Y195">
        <v>5</v>
      </c>
    </row>
    <row r="196" spans="1:25" x14ac:dyDescent="0.25">
      <c r="A196" t="s">
        <v>200</v>
      </c>
      <c r="B196">
        <v>13</v>
      </c>
      <c r="C196">
        <v>3</v>
      </c>
      <c r="D196">
        <v>3</v>
      </c>
      <c r="E196" t="s">
        <v>25</v>
      </c>
      <c r="F196" t="s">
        <v>39</v>
      </c>
      <c r="G196">
        <v>3</v>
      </c>
      <c r="H196">
        <f>stimuli_table[[#This Row],[n_colour1_left]]+stimuli_table[[#This Row],[n_colour2_left]]</f>
        <v>5</v>
      </c>
      <c r="I196" t="s">
        <v>36</v>
      </c>
      <c r="J196" t="s">
        <v>82</v>
      </c>
      <c r="K196" t="s">
        <v>29</v>
      </c>
      <c r="L196" t="s">
        <v>111</v>
      </c>
      <c r="M196" t="s">
        <v>38</v>
      </c>
      <c r="N196" s="1">
        <v>3</v>
      </c>
      <c r="O196" t="s">
        <v>103</v>
      </c>
      <c r="P196" t="s">
        <v>36</v>
      </c>
      <c r="Q196" t="s">
        <v>84</v>
      </c>
      <c r="R196">
        <v>1</v>
      </c>
      <c r="S196" t="s">
        <v>78</v>
      </c>
      <c r="T196">
        <v>4</v>
      </c>
      <c r="U196" t="s">
        <v>50</v>
      </c>
      <c r="V196" t="s">
        <v>84</v>
      </c>
      <c r="W196">
        <v>3</v>
      </c>
      <c r="X196" t="s">
        <v>78</v>
      </c>
      <c r="Y196">
        <v>5</v>
      </c>
    </row>
    <row r="197" spans="1:25" x14ac:dyDescent="0.25">
      <c r="A197" t="s">
        <v>200</v>
      </c>
      <c r="B197">
        <v>13</v>
      </c>
      <c r="C197">
        <v>4</v>
      </c>
      <c r="D197">
        <v>4</v>
      </c>
      <c r="E197" t="s">
        <v>25</v>
      </c>
      <c r="F197" t="s">
        <v>40</v>
      </c>
      <c r="G197">
        <v>3</v>
      </c>
      <c r="H197">
        <f>stimuli_table[[#This Row],[n_colour1_left]]+stimuli_table[[#This Row],[n_colour2_left]]</f>
        <v>5</v>
      </c>
      <c r="I197" t="s">
        <v>36</v>
      </c>
      <c r="J197" t="s">
        <v>82</v>
      </c>
      <c r="K197" t="s">
        <v>29</v>
      </c>
      <c r="L197" t="s">
        <v>111</v>
      </c>
      <c r="M197" t="s">
        <v>41</v>
      </c>
      <c r="N197" s="1">
        <v>4</v>
      </c>
      <c r="O197" t="s">
        <v>103</v>
      </c>
      <c r="P197" t="s">
        <v>36</v>
      </c>
      <c r="Q197" t="s">
        <v>84</v>
      </c>
      <c r="R197">
        <v>5</v>
      </c>
      <c r="S197" t="s">
        <v>78</v>
      </c>
      <c r="T197">
        <v>0</v>
      </c>
      <c r="U197" t="s">
        <v>50</v>
      </c>
      <c r="V197" t="s">
        <v>84</v>
      </c>
      <c r="W197">
        <v>3</v>
      </c>
      <c r="X197" t="s">
        <v>78</v>
      </c>
      <c r="Y197">
        <v>5</v>
      </c>
    </row>
    <row r="198" spans="1:25" x14ac:dyDescent="0.25">
      <c r="A198" t="s">
        <v>200</v>
      </c>
      <c r="B198">
        <v>13</v>
      </c>
      <c r="C198">
        <v>1</v>
      </c>
      <c r="D198">
        <v>5</v>
      </c>
      <c r="E198" t="s">
        <v>42</v>
      </c>
      <c r="F198" t="s">
        <v>26</v>
      </c>
      <c r="G198">
        <v>3</v>
      </c>
      <c r="H198">
        <f>stimuli_table[[#This Row],[n_colour1_left]]+stimuli_table[[#This Row],[n_colour2_left]]</f>
        <v>5</v>
      </c>
      <c r="I198" t="s">
        <v>36</v>
      </c>
      <c r="J198" t="s">
        <v>82</v>
      </c>
      <c r="K198" t="s">
        <v>29</v>
      </c>
      <c r="L198" t="s">
        <v>112</v>
      </c>
      <c r="M198" t="s">
        <v>31</v>
      </c>
      <c r="N198" s="2">
        <v>2</v>
      </c>
      <c r="O198" t="s">
        <v>103</v>
      </c>
      <c r="P198" t="s">
        <v>27</v>
      </c>
      <c r="Q198" t="s">
        <v>84</v>
      </c>
      <c r="R198">
        <v>3</v>
      </c>
      <c r="S198" t="s">
        <v>78</v>
      </c>
      <c r="T198">
        <v>2</v>
      </c>
      <c r="U198" t="s">
        <v>50</v>
      </c>
      <c r="V198" t="s">
        <v>84</v>
      </c>
      <c r="W198">
        <v>3</v>
      </c>
      <c r="X198" t="s">
        <v>78</v>
      </c>
      <c r="Y198">
        <v>5</v>
      </c>
    </row>
    <row r="199" spans="1:25" x14ac:dyDescent="0.25">
      <c r="A199" t="s">
        <v>200</v>
      </c>
      <c r="B199">
        <v>13</v>
      </c>
      <c r="C199">
        <v>2</v>
      </c>
      <c r="D199">
        <v>6</v>
      </c>
      <c r="E199" t="s">
        <v>42</v>
      </c>
      <c r="F199" t="s">
        <v>37</v>
      </c>
      <c r="G199">
        <v>3</v>
      </c>
      <c r="H199">
        <f>stimuli_table[[#This Row],[n_colour1_left]]+stimuli_table[[#This Row],[n_colour2_left]]</f>
        <v>5</v>
      </c>
      <c r="I199" t="s">
        <v>36</v>
      </c>
      <c r="J199" t="s">
        <v>82</v>
      </c>
      <c r="K199" t="s">
        <v>29</v>
      </c>
      <c r="L199" t="s">
        <v>112</v>
      </c>
      <c r="M199" t="s">
        <v>41</v>
      </c>
      <c r="N199" s="2">
        <v>3</v>
      </c>
      <c r="O199" t="s">
        <v>103</v>
      </c>
      <c r="P199" t="s">
        <v>36</v>
      </c>
      <c r="Q199" t="s">
        <v>84</v>
      </c>
      <c r="R199">
        <v>0</v>
      </c>
      <c r="S199" t="s">
        <v>78</v>
      </c>
      <c r="T199">
        <v>5</v>
      </c>
      <c r="U199" t="s">
        <v>50</v>
      </c>
      <c r="V199" t="s">
        <v>84</v>
      </c>
      <c r="W199">
        <v>3</v>
      </c>
      <c r="X199" t="s">
        <v>78</v>
      </c>
      <c r="Y199">
        <v>5</v>
      </c>
    </row>
    <row r="200" spans="1:25" x14ac:dyDescent="0.25">
      <c r="A200" t="s">
        <v>200</v>
      </c>
      <c r="B200">
        <v>13</v>
      </c>
      <c r="C200">
        <v>3</v>
      </c>
      <c r="D200">
        <v>7</v>
      </c>
      <c r="E200" t="s">
        <v>42</v>
      </c>
      <c r="F200" t="s">
        <v>39</v>
      </c>
      <c r="G200">
        <v>3</v>
      </c>
      <c r="H200">
        <f>stimuli_table[[#This Row],[n_colour1_left]]+stimuli_table[[#This Row],[n_colour2_left]]</f>
        <v>5</v>
      </c>
      <c r="I200" t="s">
        <v>36</v>
      </c>
      <c r="J200" t="s">
        <v>82</v>
      </c>
      <c r="K200" t="s">
        <v>29</v>
      </c>
      <c r="L200" t="s">
        <v>112</v>
      </c>
      <c r="M200" t="s">
        <v>41</v>
      </c>
      <c r="N200" s="2">
        <v>4</v>
      </c>
      <c r="O200" t="s">
        <v>103</v>
      </c>
      <c r="P200" t="s">
        <v>36</v>
      </c>
      <c r="Q200" t="s">
        <v>84</v>
      </c>
      <c r="R200">
        <v>1</v>
      </c>
      <c r="S200" t="s">
        <v>78</v>
      </c>
      <c r="T200">
        <v>4</v>
      </c>
      <c r="U200" t="s">
        <v>50</v>
      </c>
      <c r="V200" t="s">
        <v>84</v>
      </c>
      <c r="W200">
        <v>3</v>
      </c>
      <c r="X200" t="s">
        <v>78</v>
      </c>
      <c r="Y200">
        <v>5</v>
      </c>
    </row>
    <row r="201" spans="1:25" x14ac:dyDescent="0.25">
      <c r="A201" t="s">
        <v>200</v>
      </c>
      <c r="B201">
        <v>13</v>
      </c>
      <c r="C201">
        <v>4</v>
      </c>
      <c r="D201">
        <v>8</v>
      </c>
      <c r="E201" t="s">
        <v>42</v>
      </c>
      <c r="F201" t="s">
        <v>40</v>
      </c>
      <c r="G201">
        <v>3</v>
      </c>
      <c r="H201">
        <f>stimuli_table[[#This Row],[n_colour1_left]]+stimuli_table[[#This Row],[n_colour2_left]]</f>
        <v>5</v>
      </c>
      <c r="I201" t="s">
        <v>36</v>
      </c>
      <c r="J201" t="s">
        <v>82</v>
      </c>
      <c r="K201" t="s">
        <v>29</v>
      </c>
      <c r="L201" t="s">
        <v>112</v>
      </c>
      <c r="M201" t="s">
        <v>38</v>
      </c>
      <c r="N201" s="2">
        <v>1</v>
      </c>
      <c r="O201" t="s">
        <v>103</v>
      </c>
      <c r="P201" t="s">
        <v>36</v>
      </c>
      <c r="Q201" t="s">
        <v>84</v>
      </c>
      <c r="R201">
        <v>5</v>
      </c>
      <c r="S201" t="s">
        <v>78</v>
      </c>
      <c r="T201">
        <v>0</v>
      </c>
      <c r="U201" t="s">
        <v>50</v>
      </c>
      <c r="V201" t="s">
        <v>84</v>
      </c>
      <c r="W201">
        <v>3</v>
      </c>
      <c r="X201" t="s">
        <v>78</v>
      </c>
      <c r="Y201">
        <v>5</v>
      </c>
    </row>
    <row r="202" spans="1:25" x14ac:dyDescent="0.25">
      <c r="A202" t="s">
        <v>200</v>
      </c>
      <c r="B202">
        <v>13</v>
      </c>
      <c r="C202">
        <v>1</v>
      </c>
      <c r="D202">
        <v>9</v>
      </c>
      <c r="E202" t="s">
        <v>44</v>
      </c>
      <c r="F202" t="s">
        <v>26</v>
      </c>
      <c r="G202">
        <v>3</v>
      </c>
      <c r="H202">
        <f>stimuli_table[[#This Row],[n_colour1_left]]+stimuli_table[[#This Row],[n_colour2_left]]</f>
        <v>5</v>
      </c>
      <c r="I202" t="s">
        <v>36</v>
      </c>
      <c r="J202" t="s">
        <v>82</v>
      </c>
      <c r="K202" t="s">
        <v>29</v>
      </c>
      <c r="L202" t="s">
        <v>113</v>
      </c>
      <c r="M202" t="s">
        <v>31</v>
      </c>
      <c r="N202" s="3">
        <v>3</v>
      </c>
      <c r="O202" t="s">
        <v>103</v>
      </c>
      <c r="P202" t="s">
        <v>27</v>
      </c>
      <c r="Q202" t="s">
        <v>84</v>
      </c>
      <c r="R202">
        <v>3</v>
      </c>
      <c r="S202" t="s">
        <v>78</v>
      </c>
      <c r="T202">
        <v>2</v>
      </c>
      <c r="U202" t="s">
        <v>50</v>
      </c>
      <c r="V202" t="s">
        <v>84</v>
      </c>
      <c r="W202">
        <v>3</v>
      </c>
      <c r="X202" t="s">
        <v>78</v>
      </c>
      <c r="Y202">
        <v>5</v>
      </c>
    </row>
    <row r="203" spans="1:25" x14ac:dyDescent="0.25">
      <c r="A203" t="s">
        <v>200</v>
      </c>
      <c r="B203">
        <v>13</v>
      </c>
      <c r="C203">
        <v>2</v>
      </c>
      <c r="D203">
        <v>10</v>
      </c>
      <c r="E203" t="s">
        <v>44</v>
      </c>
      <c r="F203" t="s">
        <v>37</v>
      </c>
      <c r="G203">
        <v>3</v>
      </c>
      <c r="H203">
        <f>stimuli_table[[#This Row],[n_colour1_left]]+stimuli_table[[#This Row],[n_colour2_left]]</f>
        <v>5</v>
      </c>
      <c r="I203" t="s">
        <v>36</v>
      </c>
      <c r="J203" t="s">
        <v>82</v>
      </c>
      <c r="K203" t="s">
        <v>29</v>
      </c>
      <c r="L203" t="s">
        <v>113</v>
      </c>
      <c r="M203" t="s">
        <v>41</v>
      </c>
      <c r="N203" s="3">
        <v>4</v>
      </c>
      <c r="O203" t="s">
        <v>103</v>
      </c>
      <c r="P203" t="s">
        <v>36</v>
      </c>
      <c r="Q203" t="s">
        <v>84</v>
      </c>
      <c r="R203">
        <v>0</v>
      </c>
      <c r="S203" t="s">
        <v>78</v>
      </c>
      <c r="T203">
        <v>5</v>
      </c>
      <c r="U203" t="s">
        <v>50</v>
      </c>
      <c r="V203" t="s">
        <v>84</v>
      </c>
      <c r="W203">
        <v>3</v>
      </c>
      <c r="X203" t="s">
        <v>78</v>
      </c>
      <c r="Y203">
        <v>5</v>
      </c>
    </row>
    <row r="204" spans="1:25" x14ac:dyDescent="0.25">
      <c r="A204" t="s">
        <v>200</v>
      </c>
      <c r="B204">
        <v>13</v>
      </c>
      <c r="C204">
        <v>3</v>
      </c>
      <c r="D204">
        <v>11</v>
      </c>
      <c r="E204" t="s">
        <v>44</v>
      </c>
      <c r="F204" t="s">
        <v>39</v>
      </c>
      <c r="G204">
        <v>3</v>
      </c>
      <c r="H204">
        <f>stimuli_table[[#This Row],[n_colour1_left]]+stimuli_table[[#This Row],[n_colour2_left]]</f>
        <v>5</v>
      </c>
      <c r="I204" t="s">
        <v>36</v>
      </c>
      <c r="J204" t="s">
        <v>82</v>
      </c>
      <c r="K204" t="s">
        <v>29</v>
      </c>
      <c r="L204" t="s">
        <v>113</v>
      </c>
      <c r="M204" t="s">
        <v>41</v>
      </c>
      <c r="N204" s="3">
        <v>1</v>
      </c>
      <c r="O204" t="s">
        <v>103</v>
      </c>
      <c r="P204" t="s">
        <v>36</v>
      </c>
      <c r="Q204" t="s">
        <v>84</v>
      </c>
      <c r="R204">
        <v>1</v>
      </c>
      <c r="S204" t="s">
        <v>78</v>
      </c>
      <c r="T204">
        <v>4</v>
      </c>
      <c r="U204" t="s">
        <v>50</v>
      </c>
      <c r="V204" t="s">
        <v>84</v>
      </c>
      <c r="W204">
        <v>3</v>
      </c>
      <c r="X204" t="s">
        <v>78</v>
      </c>
      <c r="Y204">
        <v>5</v>
      </c>
    </row>
    <row r="205" spans="1:25" x14ac:dyDescent="0.25">
      <c r="A205" t="s">
        <v>200</v>
      </c>
      <c r="B205">
        <v>13</v>
      </c>
      <c r="C205">
        <v>4</v>
      </c>
      <c r="D205">
        <v>12</v>
      </c>
      <c r="E205" t="s">
        <v>44</v>
      </c>
      <c r="F205" t="s">
        <v>40</v>
      </c>
      <c r="G205">
        <v>3</v>
      </c>
      <c r="H205">
        <f>stimuli_table[[#This Row],[n_colour1_left]]+stimuli_table[[#This Row],[n_colour2_left]]</f>
        <v>5</v>
      </c>
      <c r="I205" t="s">
        <v>36</v>
      </c>
      <c r="J205" t="s">
        <v>82</v>
      </c>
      <c r="K205" t="s">
        <v>29</v>
      </c>
      <c r="L205" t="s">
        <v>113</v>
      </c>
      <c r="M205" t="s">
        <v>38</v>
      </c>
      <c r="N205" s="3">
        <v>2</v>
      </c>
      <c r="O205" t="s">
        <v>103</v>
      </c>
      <c r="P205" t="s">
        <v>36</v>
      </c>
      <c r="Q205" t="s">
        <v>84</v>
      </c>
      <c r="R205">
        <v>5</v>
      </c>
      <c r="S205" t="s">
        <v>78</v>
      </c>
      <c r="T205">
        <v>0</v>
      </c>
      <c r="U205" t="s">
        <v>50</v>
      </c>
      <c r="V205" t="s">
        <v>84</v>
      </c>
      <c r="W205">
        <v>3</v>
      </c>
      <c r="X205" t="s">
        <v>78</v>
      </c>
      <c r="Y205">
        <v>5</v>
      </c>
    </row>
    <row r="206" spans="1:25" x14ac:dyDescent="0.25">
      <c r="A206" t="s">
        <v>200</v>
      </c>
      <c r="B206">
        <v>13</v>
      </c>
      <c r="C206">
        <v>1</v>
      </c>
      <c r="D206">
        <v>13</v>
      </c>
      <c r="E206" t="s">
        <v>46</v>
      </c>
      <c r="F206" t="s">
        <v>26</v>
      </c>
      <c r="G206">
        <v>3</v>
      </c>
      <c r="H206">
        <f>stimuli_table[[#This Row],[n_colour1_left]]+stimuli_table[[#This Row],[n_colour2_left]]</f>
        <v>5</v>
      </c>
      <c r="I206" t="s">
        <v>36</v>
      </c>
      <c r="J206" t="s">
        <v>82</v>
      </c>
      <c r="K206" t="s">
        <v>29</v>
      </c>
      <c r="L206" t="s">
        <v>114</v>
      </c>
      <c r="M206" t="s">
        <v>31</v>
      </c>
      <c r="N206" s="4">
        <v>4</v>
      </c>
      <c r="O206" t="s">
        <v>103</v>
      </c>
      <c r="P206" t="s">
        <v>27</v>
      </c>
      <c r="Q206" t="s">
        <v>84</v>
      </c>
      <c r="R206">
        <v>3</v>
      </c>
      <c r="S206" t="s">
        <v>78</v>
      </c>
      <c r="T206">
        <v>2</v>
      </c>
      <c r="U206" t="s">
        <v>50</v>
      </c>
      <c r="V206" t="s">
        <v>84</v>
      </c>
      <c r="W206">
        <v>3</v>
      </c>
      <c r="X206" t="s">
        <v>78</v>
      </c>
      <c r="Y206">
        <v>5</v>
      </c>
    </row>
    <row r="207" spans="1:25" x14ac:dyDescent="0.25">
      <c r="A207" t="s">
        <v>200</v>
      </c>
      <c r="B207">
        <v>13</v>
      </c>
      <c r="C207">
        <v>2</v>
      </c>
      <c r="D207">
        <v>14</v>
      </c>
      <c r="E207" t="s">
        <v>46</v>
      </c>
      <c r="F207" t="s">
        <v>37</v>
      </c>
      <c r="G207">
        <v>3</v>
      </c>
      <c r="H207">
        <f>stimuli_table[[#This Row],[n_colour1_left]]+stimuli_table[[#This Row],[n_colour2_left]]</f>
        <v>5</v>
      </c>
      <c r="I207" t="s">
        <v>36</v>
      </c>
      <c r="J207" t="s">
        <v>82</v>
      </c>
      <c r="K207" t="s">
        <v>29</v>
      </c>
      <c r="L207" t="s">
        <v>114</v>
      </c>
      <c r="M207" t="s">
        <v>38</v>
      </c>
      <c r="N207" s="4">
        <v>1</v>
      </c>
      <c r="O207" t="s">
        <v>103</v>
      </c>
      <c r="P207" t="s">
        <v>36</v>
      </c>
      <c r="Q207" t="s">
        <v>84</v>
      </c>
      <c r="R207">
        <v>0</v>
      </c>
      <c r="S207" t="s">
        <v>78</v>
      </c>
      <c r="T207">
        <v>5</v>
      </c>
      <c r="U207" t="s">
        <v>50</v>
      </c>
      <c r="V207" t="s">
        <v>84</v>
      </c>
      <c r="W207">
        <v>3</v>
      </c>
      <c r="X207" t="s">
        <v>78</v>
      </c>
      <c r="Y207">
        <v>5</v>
      </c>
    </row>
    <row r="208" spans="1:25" x14ac:dyDescent="0.25">
      <c r="A208" t="s">
        <v>200</v>
      </c>
      <c r="B208">
        <v>13</v>
      </c>
      <c r="C208">
        <v>3</v>
      </c>
      <c r="D208">
        <v>15</v>
      </c>
      <c r="E208" t="s">
        <v>46</v>
      </c>
      <c r="F208" t="s">
        <v>39</v>
      </c>
      <c r="G208">
        <v>3</v>
      </c>
      <c r="H208">
        <f>stimuli_table[[#This Row],[n_colour1_left]]+stimuli_table[[#This Row],[n_colour2_left]]</f>
        <v>5</v>
      </c>
      <c r="I208" t="s">
        <v>36</v>
      </c>
      <c r="J208" t="s">
        <v>82</v>
      </c>
      <c r="K208" t="s">
        <v>29</v>
      </c>
      <c r="L208" t="s">
        <v>114</v>
      </c>
      <c r="M208" t="s">
        <v>41</v>
      </c>
      <c r="N208" s="4">
        <v>2</v>
      </c>
      <c r="O208" t="s">
        <v>103</v>
      </c>
      <c r="P208" t="s">
        <v>36</v>
      </c>
      <c r="Q208" t="s">
        <v>84</v>
      </c>
      <c r="R208">
        <v>1</v>
      </c>
      <c r="S208" t="s">
        <v>78</v>
      </c>
      <c r="T208">
        <v>4</v>
      </c>
      <c r="U208" t="s">
        <v>50</v>
      </c>
      <c r="V208" t="s">
        <v>84</v>
      </c>
      <c r="W208">
        <v>3</v>
      </c>
      <c r="X208" t="s">
        <v>78</v>
      </c>
      <c r="Y208">
        <v>5</v>
      </c>
    </row>
    <row r="209" spans="1:25" x14ac:dyDescent="0.25">
      <c r="A209" t="s">
        <v>200</v>
      </c>
      <c r="B209">
        <v>13</v>
      </c>
      <c r="C209">
        <v>4</v>
      </c>
      <c r="D209">
        <v>16</v>
      </c>
      <c r="E209" t="s">
        <v>46</v>
      </c>
      <c r="F209" t="s">
        <v>40</v>
      </c>
      <c r="G209">
        <v>3</v>
      </c>
      <c r="H209">
        <f>stimuli_table[[#This Row],[n_colour1_left]]+stimuli_table[[#This Row],[n_colour2_left]]</f>
        <v>5</v>
      </c>
      <c r="I209" t="s">
        <v>36</v>
      </c>
      <c r="J209" t="s">
        <v>82</v>
      </c>
      <c r="K209" t="s">
        <v>29</v>
      </c>
      <c r="L209" t="s">
        <v>114</v>
      </c>
      <c r="M209" t="s">
        <v>41</v>
      </c>
      <c r="N209" s="4">
        <v>3</v>
      </c>
      <c r="O209" t="s">
        <v>103</v>
      </c>
      <c r="P209" t="s">
        <v>36</v>
      </c>
      <c r="Q209" t="s">
        <v>84</v>
      </c>
      <c r="R209">
        <v>5</v>
      </c>
      <c r="S209" t="s">
        <v>78</v>
      </c>
      <c r="T209">
        <v>0</v>
      </c>
      <c r="U209" t="s">
        <v>50</v>
      </c>
      <c r="V209" t="s">
        <v>84</v>
      </c>
      <c r="W209">
        <v>3</v>
      </c>
      <c r="X209" t="s">
        <v>78</v>
      </c>
      <c r="Y209">
        <v>5</v>
      </c>
    </row>
    <row r="210" spans="1:25" x14ac:dyDescent="0.25">
      <c r="A210" t="s">
        <v>200</v>
      </c>
      <c r="B210">
        <v>14</v>
      </c>
      <c r="C210">
        <v>1</v>
      </c>
      <c r="D210">
        <v>1</v>
      </c>
      <c r="E210" t="s">
        <v>25</v>
      </c>
      <c r="F210" t="s">
        <v>26</v>
      </c>
      <c r="G210">
        <v>4</v>
      </c>
      <c r="H210">
        <f>stimuli_table[[#This Row],[n_colour1_left]]+stimuli_table[[#This Row],[n_colour2_left]]</f>
        <v>7</v>
      </c>
      <c r="I210" t="s">
        <v>52</v>
      </c>
      <c r="J210" t="s">
        <v>51</v>
      </c>
      <c r="K210" t="s">
        <v>29</v>
      </c>
      <c r="L210" t="s">
        <v>115</v>
      </c>
      <c r="M210" t="s">
        <v>31</v>
      </c>
      <c r="N210" s="2">
        <v>2</v>
      </c>
      <c r="O210" t="s">
        <v>103</v>
      </c>
      <c r="P210" t="s">
        <v>50</v>
      </c>
      <c r="Q210" t="s">
        <v>51</v>
      </c>
      <c r="R210">
        <v>3</v>
      </c>
      <c r="S210" t="s">
        <v>84</v>
      </c>
      <c r="T210">
        <v>4</v>
      </c>
      <c r="U210" t="s">
        <v>36</v>
      </c>
      <c r="V210" t="s">
        <v>51</v>
      </c>
      <c r="W210">
        <v>4</v>
      </c>
      <c r="X210" t="s">
        <v>84</v>
      </c>
      <c r="Y210">
        <v>4</v>
      </c>
    </row>
    <row r="211" spans="1:25" x14ac:dyDescent="0.25">
      <c r="A211" t="s">
        <v>200</v>
      </c>
      <c r="B211">
        <v>14</v>
      </c>
      <c r="C211">
        <v>2</v>
      </c>
      <c r="D211">
        <v>2</v>
      </c>
      <c r="E211" t="s">
        <v>25</v>
      </c>
      <c r="F211" t="s">
        <v>37</v>
      </c>
      <c r="G211">
        <v>4</v>
      </c>
      <c r="H211">
        <f>stimuli_table[[#This Row],[n_colour1_left]]+stimuli_table[[#This Row],[n_colour2_left]]</f>
        <v>7</v>
      </c>
      <c r="I211" t="s">
        <v>52</v>
      </c>
      <c r="J211" t="s">
        <v>51</v>
      </c>
      <c r="K211" t="s">
        <v>29</v>
      </c>
      <c r="L211" t="s">
        <v>115</v>
      </c>
      <c r="M211" t="s">
        <v>38</v>
      </c>
      <c r="N211" s="2">
        <v>3</v>
      </c>
      <c r="O211" t="s">
        <v>103</v>
      </c>
      <c r="P211" t="s">
        <v>52</v>
      </c>
      <c r="Q211" t="s">
        <v>51</v>
      </c>
      <c r="R211">
        <v>0</v>
      </c>
      <c r="S211" t="s">
        <v>84</v>
      </c>
      <c r="T211">
        <v>7</v>
      </c>
      <c r="U211" t="s">
        <v>36</v>
      </c>
      <c r="V211" t="s">
        <v>51</v>
      </c>
      <c r="W211">
        <v>4</v>
      </c>
      <c r="X211" t="s">
        <v>84</v>
      </c>
      <c r="Y211">
        <v>4</v>
      </c>
    </row>
    <row r="212" spans="1:25" x14ac:dyDescent="0.25">
      <c r="A212" t="s">
        <v>200</v>
      </c>
      <c r="B212">
        <v>14</v>
      </c>
      <c r="C212">
        <v>3</v>
      </c>
      <c r="D212">
        <v>3</v>
      </c>
      <c r="E212" t="s">
        <v>25</v>
      </c>
      <c r="F212" t="s">
        <v>39</v>
      </c>
      <c r="G212">
        <v>4</v>
      </c>
      <c r="H212">
        <f>stimuli_table[[#This Row],[n_colour1_left]]+stimuli_table[[#This Row],[n_colour2_left]]</f>
        <v>7</v>
      </c>
      <c r="I212" t="s">
        <v>52</v>
      </c>
      <c r="J212" t="s">
        <v>51</v>
      </c>
      <c r="K212" t="s">
        <v>29</v>
      </c>
      <c r="L212" t="s">
        <v>115</v>
      </c>
      <c r="M212" t="s">
        <v>38</v>
      </c>
      <c r="N212" s="2">
        <v>4</v>
      </c>
      <c r="O212" t="s">
        <v>103</v>
      </c>
      <c r="P212" t="s">
        <v>52</v>
      </c>
      <c r="Q212" t="s">
        <v>51</v>
      </c>
      <c r="R212">
        <v>1</v>
      </c>
      <c r="S212" t="s">
        <v>84</v>
      </c>
      <c r="T212">
        <v>6</v>
      </c>
      <c r="U212" t="s">
        <v>36</v>
      </c>
      <c r="V212" t="s">
        <v>51</v>
      </c>
      <c r="W212">
        <v>4</v>
      </c>
      <c r="X212" t="s">
        <v>84</v>
      </c>
      <c r="Y212">
        <v>4</v>
      </c>
    </row>
    <row r="213" spans="1:25" x14ac:dyDescent="0.25">
      <c r="A213" t="s">
        <v>200</v>
      </c>
      <c r="B213">
        <v>14</v>
      </c>
      <c r="C213">
        <v>4</v>
      </c>
      <c r="D213">
        <v>4</v>
      </c>
      <c r="E213" t="s">
        <v>25</v>
      </c>
      <c r="F213" t="s">
        <v>40</v>
      </c>
      <c r="G213">
        <v>4</v>
      </c>
      <c r="H213">
        <f>stimuli_table[[#This Row],[n_colour1_left]]+stimuli_table[[#This Row],[n_colour2_left]]</f>
        <v>7</v>
      </c>
      <c r="I213" t="s">
        <v>52</v>
      </c>
      <c r="J213" t="s">
        <v>51</v>
      </c>
      <c r="K213" t="s">
        <v>29</v>
      </c>
      <c r="L213" t="s">
        <v>115</v>
      </c>
      <c r="M213" t="s">
        <v>41</v>
      </c>
      <c r="N213" s="2">
        <v>1</v>
      </c>
      <c r="O213" t="s">
        <v>103</v>
      </c>
      <c r="P213" t="s">
        <v>52</v>
      </c>
      <c r="Q213" t="s">
        <v>51</v>
      </c>
      <c r="R213">
        <v>7</v>
      </c>
      <c r="S213" t="s">
        <v>84</v>
      </c>
      <c r="T213">
        <v>0</v>
      </c>
      <c r="U213" t="s">
        <v>36</v>
      </c>
      <c r="V213" t="s">
        <v>51</v>
      </c>
      <c r="W213">
        <v>4</v>
      </c>
      <c r="X213" t="s">
        <v>84</v>
      </c>
      <c r="Y213">
        <v>4</v>
      </c>
    </row>
    <row r="214" spans="1:25" x14ac:dyDescent="0.25">
      <c r="A214" t="s">
        <v>200</v>
      </c>
      <c r="B214">
        <v>14</v>
      </c>
      <c r="C214">
        <v>1</v>
      </c>
      <c r="D214">
        <v>5</v>
      </c>
      <c r="E214" t="s">
        <v>42</v>
      </c>
      <c r="F214" t="s">
        <v>26</v>
      </c>
      <c r="G214">
        <v>4</v>
      </c>
      <c r="H214">
        <f>stimuli_table[[#This Row],[n_colour1_left]]+stimuli_table[[#This Row],[n_colour2_left]]</f>
        <v>7</v>
      </c>
      <c r="I214" t="s">
        <v>52</v>
      </c>
      <c r="J214" t="s">
        <v>51</v>
      </c>
      <c r="K214" t="s">
        <v>29</v>
      </c>
      <c r="L214" t="s">
        <v>116</v>
      </c>
      <c r="M214" t="s">
        <v>31</v>
      </c>
      <c r="N214" s="3">
        <v>3</v>
      </c>
      <c r="O214" t="s">
        <v>103</v>
      </c>
      <c r="P214" t="s">
        <v>50</v>
      </c>
      <c r="Q214" t="s">
        <v>51</v>
      </c>
      <c r="R214">
        <v>3</v>
      </c>
      <c r="S214" t="s">
        <v>84</v>
      </c>
      <c r="T214">
        <v>4</v>
      </c>
      <c r="U214" t="s">
        <v>36</v>
      </c>
      <c r="V214" t="s">
        <v>51</v>
      </c>
      <c r="W214">
        <v>4</v>
      </c>
      <c r="X214" t="s">
        <v>84</v>
      </c>
      <c r="Y214">
        <v>4</v>
      </c>
    </row>
    <row r="215" spans="1:25" x14ac:dyDescent="0.25">
      <c r="A215" t="s">
        <v>200</v>
      </c>
      <c r="B215">
        <v>14</v>
      </c>
      <c r="C215">
        <v>2</v>
      </c>
      <c r="D215">
        <v>6</v>
      </c>
      <c r="E215" t="s">
        <v>42</v>
      </c>
      <c r="F215" t="s">
        <v>37</v>
      </c>
      <c r="G215">
        <v>4</v>
      </c>
      <c r="H215">
        <f>stimuli_table[[#This Row],[n_colour1_left]]+stimuli_table[[#This Row],[n_colour2_left]]</f>
        <v>7</v>
      </c>
      <c r="I215" t="s">
        <v>52</v>
      </c>
      <c r="J215" t="s">
        <v>51</v>
      </c>
      <c r="K215" t="s">
        <v>29</v>
      </c>
      <c r="L215" t="s">
        <v>116</v>
      </c>
      <c r="M215" t="s">
        <v>41</v>
      </c>
      <c r="N215" s="3">
        <v>4</v>
      </c>
      <c r="O215" t="s">
        <v>103</v>
      </c>
      <c r="P215" t="s">
        <v>52</v>
      </c>
      <c r="Q215" t="s">
        <v>51</v>
      </c>
      <c r="R215">
        <v>0</v>
      </c>
      <c r="S215" t="s">
        <v>84</v>
      </c>
      <c r="T215">
        <v>7</v>
      </c>
      <c r="U215" t="s">
        <v>36</v>
      </c>
      <c r="V215" t="s">
        <v>51</v>
      </c>
      <c r="W215">
        <v>4</v>
      </c>
      <c r="X215" t="s">
        <v>84</v>
      </c>
      <c r="Y215">
        <v>4</v>
      </c>
    </row>
    <row r="216" spans="1:25" x14ac:dyDescent="0.25">
      <c r="A216" t="s">
        <v>200</v>
      </c>
      <c r="B216">
        <v>14</v>
      </c>
      <c r="C216">
        <v>3</v>
      </c>
      <c r="D216">
        <v>7</v>
      </c>
      <c r="E216" t="s">
        <v>42</v>
      </c>
      <c r="F216" t="s">
        <v>39</v>
      </c>
      <c r="G216">
        <v>4</v>
      </c>
      <c r="H216">
        <f>stimuli_table[[#This Row],[n_colour1_left]]+stimuli_table[[#This Row],[n_colour2_left]]</f>
        <v>7</v>
      </c>
      <c r="I216" t="s">
        <v>52</v>
      </c>
      <c r="J216" t="s">
        <v>51</v>
      </c>
      <c r="K216" t="s">
        <v>29</v>
      </c>
      <c r="L216" t="s">
        <v>116</v>
      </c>
      <c r="M216" t="s">
        <v>41</v>
      </c>
      <c r="N216" s="3">
        <v>1</v>
      </c>
      <c r="O216" t="s">
        <v>103</v>
      </c>
      <c r="P216" t="s">
        <v>52</v>
      </c>
      <c r="Q216" t="s">
        <v>51</v>
      </c>
      <c r="R216">
        <v>1</v>
      </c>
      <c r="S216" t="s">
        <v>84</v>
      </c>
      <c r="T216">
        <v>6</v>
      </c>
      <c r="U216" t="s">
        <v>36</v>
      </c>
      <c r="V216" t="s">
        <v>51</v>
      </c>
      <c r="W216">
        <v>4</v>
      </c>
      <c r="X216" t="s">
        <v>84</v>
      </c>
      <c r="Y216">
        <v>4</v>
      </c>
    </row>
    <row r="217" spans="1:25" x14ac:dyDescent="0.25">
      <c r="A217" t="s">
        <v>200</v>
      </c>
      <c r="B217">
        <v>14</v>
      </c>
      <c r="C217">
        <v>4</v>
      </c>
      <c r="D217">
        <v>8</v>
      </c>
      <c r="E217" t="s">
        <v>42</v>
      </c>
      <c r="F217" t="s">
        <v>40</v>
      </c>
      <c r="G217">
        <v>4</v>
      </c>
      <c r="H217">
        <f>stimuli_table[[#This Row],[n_colour1_left]]+stimuli_table[[#This Row],[n_colour2_left]]</f>
        <v>7</v>
      </c>
      <c r="I217" t="s">
        <v>52</v>
      </c>
      <c r="J217" t="s">
        <v>51</v>
      </c>
      <c r="K217" t="s">
        <v>29</v>
      </c>
      <c r="L217" t="s">
        <v>116</v>
      </c>
      <c r="M217" t="s">
        <v>38</v>
      </c>
      <c r="N217" s="3">
        <v>2</v>
      </c>
      <c r="O217" t="s">
        <v>103</v>
      </c>
      <c r="P217" t="s">
        <v>52</v>
      </c>
      <c r="Q217" t="s">
        <v>51</v>
      </c>
      <c r="R217">
        <v>7</v>
      </c>
      <c r="S217" t="s">
        <v>84</v>
      </c>
      <c r="T217">
        <v>0</v>
      </c>
      <c r="U217" t="s">
        <v>36</v>
      </c>
      <c r="V217" t="s">
        <v>51</v>
      </c>
      <c r="W217">
        <v>4</v>
      </c>
      <c r="X217" t="s">
        <v>84</v>
      </c>
      <c r="Y217">
        <v>4</v>
      </c>
    </row>
    <row r="218" spans="1:25" x14ac:dyDescent="0.25">
      <c r="A218" t="s">
        <v>200</v>
      </c>
      <c r="B218">
        <v>14</v>
      </c>
      <c r="C218">
        <v>1</v>
      </c>
      <c r="D218">
        <v>9</v>
      </c>
      <c r="E218" t="s">
        <v>44</v>
      </c>
      <c r="F218" t="s">
        <v>26</v>
      </c>
      <c r="G218">
        <v>4</v>
      </c>
      <c r="H218">
        <f>stimuli_table[[#This Row],[n_colour1_left]]+stimuli_table[[#This Row],[n_colour2_left]]</f>
        <v>7</v>
      </c>
      <c r="I218" t="s">
        <v>52</v>
      </c>
      <c r="J218" t="s">
        <v>51</v>
      </c>
      <c r="K218" t="s">
        <v>29</v>
      </c>
      <c r="L218" t="s">
        <v>117</v>
      </c>
      <c r="M218" t="s">
        <v>31</v>
      </c>
      <c r="N218" s="4">
        <v>4</v>
      </c>
      <c r="O218" t="s">
        <v>103</v>
      </c>
      <c r="P218" t="s">
        <v>50</v>
      </c>
      <c r="Q218" t="s">
        <v>51</v>
      </c>
      <c r="R218">
        <v>3</v>
      </c>
      <c r="S218" t="s">
        <v>84</v>
      </c>
      <c r="T218">
        <v>4</v>
      </c>
      <c r="U218" t="s">
        <v>36</v>
      </c>
      <c r="V218" t="s">
        <v>51</v>
      </c>
      <c r="W218">
        <v>4</v>
      </c>
      <c r="X218" t="s">
        <v>84</v>
      </c>
      <c r="Y218">
        <v>4</v>
      </c>
    </row>
    <row r="219" spans="1:25" x14ac:dyDescent="0.25">
      <c r="A219" t="s">
        <v>200</v>
      </c>
      <c r="B219">
        <v>14</v>
      </c>
      <c r="C219">
        <v>2</v>
      </c>
      <c r="D219">
        <v>10</v>
      </c>
      <c r="E219" t="s">
        <v>44</v>
      </c>
      <c r="F219" t="s">
        <v>37</v>
      </c>
      <c r="G219">
        <v>4</v>
      </c>
      <c r="H219">
        <f>stimuli_table[[#This Row],[n_colour1_left]]+stimuli_table[[#This Row],[n_colour2_left]]</f>
        <v>7</v>
      </c>
      <c r="I219" t="s">
        <v>52</v>
      </c>
      <c r="J219" t="s">
        <v>51</v>
      </c>
      <c r="K219" t="s">
        <v>29</v>
      </c>
      <c r="L219" t="s">
        <v>117</v>
      </c>
      <c r="M219" t="s">
        <v>41</v>
      </c>
      <c r="N219" s="4">
        <v>1</v>
      </c>
      <c r="O219" t="s">
        <v>103</v>
      </c>
      <c r="P219" t="s">
        <v>52</v>
      </c>
      <c r="Q219" t="s">
        <v>51</v>
      </c>
      <c r="R219">
        <v>0</v>
      </c>
      <c r="S219" t="s">
        <v>84</v>
      </c>
      <c r="T219">
        <v>7</v>
      </c>
      <c r="U219" t="s">
        <v>36</v>
      </c>
      <c r="V219" t="s">
        <v>51</v>
      </c>
      <c r="W219">
        <v>4</v>
      </c>
      <c r="X219" t="s">
        <v>84</v>
      </c>
      <c r="Y219">
        <v>4</v>
      </c>
    </row>
    <row r="220" spans="1:25" x14ac:dyDescent="0.25">
      <c r="A220" t="s">
        <v>200</v>
      </c>
      <c r="B220">
        <v>14</v>
      </c>
      <c r="C220">
        <v>3</v>
      </c>
      <c r="D220">
        <v>11</v>
      </c>
      <c r="E220" t="s">
        <v>44</v>
      </c>
      <c r="F220" t="s">
        <v>39</v>
      </c>
      <c r="G220">
        <v>4</v>
      </c>
      <c r="H220">
        <f>stimuli_table[[#This Row],[n_colour1_left]]+stimuli_table[[#This Row],[n_colour2_left]]</f>
        <v>7</v>
      </c>
      <c r="I220" t="s">
        <v>52</v>
      </c>
      <c r="J220" t="s">
        <v>51</v>
      </c>
      <c r="K220" t="s">
        <v>29</v>
      </c>
      <c r="L220" t="s">
        <v>117</v>
      </c>
      <c r="M220" t="s">
        <v>41</v>
      </c>
      <c r="N220" s="4">
        <v>2</v>
      </c>
      <c r="O220" t="s">
        <v>103</v>
      </c>
      <c r="P220" t="s">
        <v>52</v>
      </c>
      <c r="Q220" t="s">
        <v>51</v>
      </c>
      <c r="R220">
        <v>1</v>
      </c>
      <c r="S220" t="s">
        <v>84</v>
      </c>
      <c r="T220">
        <v>6</v>
      </c>
      <c r="U220" t="s">
        <v>36</v>
      </c>
      <c r="V220" t="s">
        <v>51</v>
      </c>
      <c r="W220">
        <v>4</v>
      </c>
      <c r="X220" t="s">
        <v>84</v>
      </c>
      <c r="Y220">
        <v>4</v>
      </c>
    </row>
    <row r="221" spans="1:25" x14ac:dyDescent="0.25">
      <c r="A221" t="s">
        <v>200</v>
      </c>
      <c r="B221">
        <v>14</v>
      </c>
      <c r="C221">
        <v>4</v>
      </c>
      <c r="D221">
        <v>12</v>
      </c>
      <c r="E221" t="s">
        <v>44</v>
      </c>
      <c r="F221" t="s">
        <v>40</v>
      </c>
      <c r="G221">
        <v>4</v>
      </c>
      <c r="H221">
        <f>stimuli_table[[#This Row],[n_colour1_left]]+stimuli_table[[#This Row],[n_colour2_left]]</f>
        <v>7</v>
      </c>
      <c r="I221" t="s">
        <v>52</v>
      </c>
      <c r="J221" t="s">
        <v>51</v>
      </c>
      <c r="K221" t="s">
        <v>29</v>
      </c>
      <c r="L221" t="s">
        <v>117</v>
      </c>
      <c r="M221" t="s">
        <v>38</v>
      </c>
      <c r="N221" s="4">
        <v>3</v>
      </c>
      <c r="O221" t="s">
        <v>103</v>
      </c>
      <c r="P221" t="s">
        <v>52</v>
      </c>
      <c r="Q221" t="s">
        <v>51</v>
      </c>
      <c r="R221">
        <v>7</v>
      </c>
      <c r="S221" t="s">
        <v>84</v>
      </c>
      <c r="T221">
        <v>0</v>
      </c>
      <c r="U221" t="s">
        <v>36</v>
      </c>
      <c r="V221" t="s">
        <v>51</v>
      </c>
      <c r="W221">
        <v>4</v>
      </c>
      <c r="X221" t="s">
        <v>84</v>
      </c>
      <c r="Y221">
        <v>4</v>
      </c>
    </row>
    <row r="222" spans="1:25" x14ac:dyDescent="0.25">
      <c r="A222" t="s">
        <v>200</v>
      </c>
      <c r="B222">
        <v>14</v>
      </c>
      <c r="C222">
        <v>1</v>
      </c>
      <c r="D222">
        <v>13</v>
      </c>
      <c r="E222" t="s">
        <v>46</v>
      </c>
      <c r="F222" t="s">
        <v>26</v>
      </c>
      <c r="G222">
        <v>4</v>
      </c>
      <c r="H222">
        <f>stimuli_table[[#This Row],[n_colour1_left]]+stimuli_table[[#This Row],[n_colour2_left]]</f>
        <v>7</v>
      </c>
      <c r="I222" t="s">
        <v>52</v>
      </c>
      <c r="J222" t="s">
        <v>51</v>
      </c>
      <c r="K222" t="s">
        <v>29</v>
      </c>
      <c r="L222" t="s">
        <v>118</v>
      </c>
      <c r="M222" t="s">
        <v>31</v>
      </c>
      <c r="N222" s="1">
        <v>1</v>
      </c>
      <c r="O222" t="s">
        <v>103</v>
      </c>
      <c r="P222" t="s">
        <v>50</v>
      </c>
      <c r="Q222" t="s">
        <v>51</v>
      </c>
      <c r="R222">
        <v>3</v>
      </c>
      <c r="S222" t="s">
        <v>84</v>
      </c>
      <c r="T222">
        <v>4</v>
      </c>
      <c r="U222" t="s">
        <v>36</v>
      </c>
      <c r="V222" t="s">
        <v>51</v>
      </c>
      <c r="W222">
        <v>4</v>
      </c>
      <c r="X222" t="s">
        <v>84</v>
      </c>
      <c r="Y222">
        <v>4</v>
      </c>
    </row>
    <row r="223" spans="1:25" x14ac:dyDescent="0.25">
      <c r="A223" t="s">
        <v>200</v>
      </c>
      <c r="B223">
        <v>14</v>
      </c>
      <c r="C223">
        <v>2</v>
      </c>
      <c r="D223">
        <v>14</v>
      </c>
      <c r="E223" t="s">
        <v>46</v>
      </c>
      <c r="F223" t="s">
        <v>37</v>
      </c>
      <c r="G223">
        <v>4</v>
      </c>
      <c r="H223">
        <f>stimuli_table[[#This Row],[n_colour1_left]]+stimuli_table[[#This Row],[n_colour2_left]]</f>
        <v>7</v>
      </c>
      <c r="I223" t="s">
        <v>52</v>
      </c>
      <c r="J223" t="s">
        <v>51</v>
      </c>
      <c r="K223" t="s">
        <v>29</v>
      </c>
      <c r="L223" t="s">
        <v>118</v>
      </c>
      <c r="M223" t="s">
        <v>38</v>
      </c>
      <c r="N223" s="1">
        <v>2</v>
      </c>
      <c r="O223" t="s">
        <v>103</v>
      </c>
      <c r="P223" t="s">
        <v>52</v>
      </c>
      <c r="Q223" t="s">
        <v>51</v>
      </c>
      <c r="R223">
        <v>0</v>
      </c>
      <c r="S223" t="s">
        <v>84</v>
      </c>
      <c r="T223">
        <v>7</v>
      </c>
      <c r="U223" t="s">
        <v>36</v>
      </c>
      <c r="V223" t="s">
        <v>51</v>
      </c>
      <c r="W223">
        <v>4</v>
      </c>
      <c r="X223" t="s">
        <v>84</v>
      </c>
      <c r="Y223">
        <v>4</v>
      </c>
    </row>
    <row r="224" spans="1:25" x14ac:dyDescent="0.25">
      <c r="A224" t="s">
        <v>200</v>
      </c>
      <c r="B224">
        <v>14</v>
      </c>
      <c r="C224">
        <v>3</v>
      </c>
      <c r="D224">
        <v>15</v>
      </c>
      <c r="E224" t="s">
        <v>46</v>
      </c>
      <c r="F224" t="s">
        <v>39</v>
      </c>
      <c r="G224">
        <v>4</v>
      </c>
      <c r="H224">
        <f>stimuli_table[[#This Row],[n_colour1_left]]+stimuli_table[[#This Row],[n_colour2_left]]</f>
        <v>7</v>
      </c>
      <c r="I224" t="s">
        <v>52</v>
      </c>
      <c r="J224" t="s">
        <v>51</v>
      </c>
      <c r="K224" t="s">
        <v>29</v>
      </c>
      <c r="L224" t="s">
        <v>118</v>
      </c>
      <c r="M224" t="s">
        <v>41</v>
      </c>
      <c r="N224" s="1">
        <v>3</v>
      </c>
      <c r="O224" t="s">
        <v>103</v>
      </c>
      <c r="P224" t="s">
        <v>52</v>
      </c>
      <c r="Q224" t="s">
        <v>51</v>
      </c>
      <c r="R224">
        <v>1</v>
      </c>
      <c r="S224" t="s">
        <v>84</v>
      </c>
      <c r="T224">
        <v>6</v>
      </c>
      <c r="U224" t="s">
        <v>36</v>
      </c>
      <c r="V224" t="s">
        <v>51</v>
      </c>
      <c r="W224">
        <v>4</v>
      </c>
      <c r="X224" t="s">
        <v>84</v>
      </c>
      <c r="Y224">
        <v>4</v>
      </c>
    </row>
    <row r="225" spans="1:25" x14ac:dyDescent="0.25">
      <c r="A225" t="s">
        <v>200</v>
      </c>
      <c r="B225">
        <v>14</v>
      </c>
      <c r="C225">
        <v>4</v>
      </c>
      <c r="D225">
        <v>16</v>
      </c>
      <c r="E225" t="s">
        <v>46</v>
      </c>
      <c r="F225" t="s">
        <v>40</v>
      </c>
      <c r="G225">
        <v>4</v>
      </c>
      <c r="H225">
        <f>stimuli_table[[#This Row],[n_colour1_left]]+stimuli_table[[#This Row],[n_colour2_left]]</f>
        <v>7</v>
      </c>
      <c r="I225" t="s">
        <v>52</v>
      </c>
      <c r="J225" t="s">
        <v>51</v>
      </c>
      <c r="K225" t="s">
        <v>29</v>
      </c>
      <c r="L225" t="s">
        <v>118</v>
      </c>
      <c r="M225" t="s">
        <v>41</v>
      </c>
      <c r="N225" s="1">
        <v>4</v>
      </c>
      <c r="O225" t="s">
        <v>103</v>
      </c>
      <c r="P225" t="s">
        <v>52</v>
      </c>
      <c r="Q225" t="s">
        <v>51</v>
      </c>
      <c r="R225">
        <v>7</v>
      </c>
      <c r="S225" t="s">
        <v>84</v>
      </c>
      <c r="T225">
        <v>0</v>
      </c>
      <c r="U225" t="s">
        <v>36</v>
      </c>
      <c r="V225" t="s">
        <v>51</v>
      </c>
      <c r="W225">
        <v>4</v>
      </c>
      <c r="X225" t="s">
        <v>84</v>
      </c>
      <c r="Y225">
        <v>4</v>
      </c>
    </row>
    <row r="226" spans="1:25" x14ac:dyDescent="0.25">
      <c r="A226" t="s">
        <v>200</v>
      </c>
      <c r="B226">
        <v>15</v>
      </c>
      <c r="C226">
        <v>1</v>
      </c>
      <c r="D226">
        <v>1</v>
      </c>
      <c r="E226" t="s">
        <v>25</v>
      </c>
      <c r="F226" t="s">
        <v>26</v>
      </c>
      <c r="G226">
        <v>3</v>
      </c>
      <c r="H226">
        <f>stimuli_table[[#This Row],[n_colour1_left]]+stimuli_table[[#This Row],[n_colour2_left]]</f>
        <v>5</v>
      </c>
      <c r="I226" t="s">
        <v>33</v>
      </c>
      <c r="J226" t="s">
        <v>28</v>
      </c>
      <c r="K226" t="s">
        <v>29</v>
      </c>
      <c r="L226" t="s">
        <v>119</v>
      </c>
      <c r="M226" t="s">
        <v>31</v>
      </c>
      <c r="N226" s="3">
        <v>3</v>
      </c>
      <c r="O226" t="s">
        <v>103</v>
      </c>
      <c r="P226" t="s">
        <v>33</v>
      </c>
      <c r="Q226" t="s">
        <v>34</v>
      </c>
      <c r="R226">
        <v>3</v>
      </c>
      <c r="S226" t="s">
        <v>59</v>
      </c>
      <c r="T226">
        <v>2</v>
      </c>
      <c r="U226" t="s">
        <v>27</v>
      </c>
      <c r="V226" t="s">
        <v>34</v>
      </c>
      <c r="W226">
        <v>5</v>
      </c>
      <c r="X226" t="s">
        <v>59</v>
      </c>
      <c r="Y226">
        <v>3</v>
      </c>
    </row>
    <row r="227" spans="1:25" x14ac:dyDescent="0.25">
      <c r="A227" t="s">
        <v>200</v>
      </c>
      <c r="B227">
        <v>15</v>
      </c>
      <c r="C227">
        <v>2</v>
      </c>
      <c r="D227">
        <v>2</v>
      </c>
      <c r="E227" t="s">
        <v>25</v>
      </c>
      <c r="F227" t="s">
        <v>37</v>
      </c>
      <c r="G227">
        <v>3</v>
      </c>
      <c r="H227">
        <f>stimuli_table[[#This Row],[n_colour1_left]]+stimuli_table[[#This Row],[n_colour2_left]]</f>
        <v>5</v>
      </c>
      <c r="I227" t="s">
        <v>33</v>
      </c>
      <c r="J227" t="s">
        <v>28</v>
      </c>
      <c r="K227" t="s">
        <v>29</v>
      </c>
      <c r="L227" t="s">
        <v>119</v>
      </c>
      <c r="M227" t="s">
        <v>38</v>
      </c>
      <c r="N227" s="3">
        <v>4</v>
      </c>
      <c r="O227" t="s">
        <v>103</v>
      </c>
      <c r="P227" t="s">
        <v>36</v>
      </c>
      <c r="Q227" t="s">
        <v>34</v>
      </c>
      <c r="R227">
        <v>0</v>
      </c>
      <c r="S227" t="s">
        <v>59</v>
      </c>
      <c r="T227">
        <v>5</v>
      </c>
      <c r="U227" t="s">
        <v>27</v>
      </c>
      <c r="V227" t="s">
        <v>34</v>
      </c>
      <c r="W227">
        <v>5</v>
      </c>
      <c r="X227" t="s">
        <v>59</v>
      </c>
      <c r="Y227">
        <v>3</v>
      </c>
    </row>
    <row r="228" spans="1:25" x14ac:dyDescent="0.25">
      <c r="A228" t="s">
        <v>200</v>
      </c>
      <c r="B228">
        <v>15</v>
      </c>
      <c r="C228">
        <v>3</v>
      </c>
      <c r="D228">
        <v>3</v>
      </c>
      <c r="E228" t="s">
        <v>25</v>
      </c>
      <c r="F228" t="s">
        <v>39</v>
      </c>
      <c r="G228">
        <v>3</v>
      </c>
      <c r="H228">
        <f>stimuli_table[[#This Row],[n_colour1_left]]+stimuli_table[[#This Row],[n_colour2_left]]</f>
        <v>5</v>
      </c>
      <c r="I228" t="s">
        <v>33</v>
      </c>
      <c r="J228" t="s">
        <v>28</v>
      </c>
      <c r="K228" t="s">
        <v>29</v>
      </c>
      <c r="L228" t="s">
        <v>119</v>
      </c>
      <c r="M228" t="s">
        <v>38</v>
      </c>
      <c r="N228" s="3">
        <v>1</v>
      </c>
      <c r="O228" t="s">
        <v>103</v>
      </c>
      <c r="P228" t="s">
        <v>36</v>
      </c>
      <c r="Q228" t="s">
        <v>34</v>
      </c>
      <c r="R228">
        <v>2</v>
      </c>
      <c r="S228" t="s">
        <v>59</v>
      </c>
      <c r="T228">
        <v>3</v>
      </c>
      <c r="U228" t="s">
        <v>27</v>
      </c>
      <c r="V228" t="s">
        <v>34</v>
      </c>
      <c r="W228">
        <v>5</v>
      </c>
      <c r="X228" t="s">
        <v>59</v>
      </c>
      <c r="Y228">
        <v>3</v>
      </c>
    </row>
    <row r="229" spans="1:25" x14ac:dyDescent="0.25">
      <c r="A229" t="s">
        <v>200</v>
      </c>
      <c r="B229">
        <v>15</v>
      </c>
      <c r="C229">
        <v>4</v>
      </c>
      <c r="D229">
        <v>4</v>
      </c>
      <c r="E229" t="s">
        <v>25</v>
      </c>
      <c r="F229" t="s">
        <v>40</v>
      </c>
      <c r="G229">
        <v>3</v>
      </c>
      <c r="H229">
        <f>stimuli_table[[#This Row],[n_colour1_left]]+stimuli_table[[#This Row],[n_colour2_left]]</f>
        <v>5</v>
      </c>
      <c r="I229" t="s">
        <v>33</v>
      </c>
      <c r="J229" t="s">
        <v>28</v>
      </c>
      <c r="K229" t="s">
        <v>29</v>
      </c>
      <c r="L229" t="s">
        <v>119</v>
      </c>
      <c r="M229" t="s">
        <v>41</v>
      </c>
      <c r="N229" s="3">
        <v>2</v>
      </c>
      <c r="O229" t="s">
        <v>103</v>
      </c>
      <c r="P229" t="s">
        <v>36</v>
      </c>
      <c r="Q229" t="s">
        <v>34</v>
      </c>
      <c r="R229">
        <v>5</v>
      </c>
      <c r="S229" t="s">
        <v>59</v>
      </c>
      <c r="T229">
        <v>0</v>
      </c>
      <c r="U229" t="s">
        <v>27</v>
      </c>
      <c r="V229" t="s">
        <v>34</v>
      </c>
      <c r="W229">
        <v>5</v>
      </c>
      <c r="X229" t="s">
        <v>59</v>
      </c>
      <c r="Y229">
        <v>3</v>
      </c>
    </row>
    <row r="230" spans="1:25" x14ac:dyDescent="0.25">
      <c r="A230" t="s">
        <v>200</v>
      </c>
      <c r="B230">
        <v>15</v>
      </c>
      <c r="C230">
        <v>1</v>
      </c>
      <c r="D230">
        <v>5</v>
      </c>
      <c r="E230" t="s">
        <v>42</v>
      </c>
      <c r="F230" t="s">
        <v>26</v>
      </c>
      <c r="G230">
        <v>3</v>
      </c>
      <c r="H230">
        <f>stimuli_table[[#This Row],[n_colour1_left]]+stimuli_table[[#This Row],[n_colour2_left]]</f>
        <v>5</v>
      </c>
      <c r="I230" t="s">
        <v>33</v>
      </c>
      <c r="J230" t="s">
        <v>28</v>
      </c>
      <c r="K230" t="s">
        <v>29</v>
      </c>
      <c r="L230" t="s">
        <v>120</v>
      </c>
      <c r="M230" t="s">
        <v>31</v>
      </c>
      <c r="N230" s="4">
        <v>4</v>
      </c>
      <c r="O230" t="s">
        <v>103</v>
      </c>
      <c r="P230" t="s">
        <v>33</v>
      </c>
      <c r="Q230" t="s">
        <v>34</v>
      </c>
      <c r="R230">
        <v>3</v>
      </c>
      <c r="S230" t="s">
        <v>59</v>
      </c>
      <c r="T230">
        <v>2</v>
      </c>
      <c r="U230" t="s">
        <v>27</v>
      </c>
      <c r="V230" t="s">
        <v>34</v>
      </c>
      <c r="W230">
        <v>5</v>
      </c>
      <c r="X230" t="s">
        <v>59</v>
      </c>
      <c r="Y230">
        <v>3</v>
      </c>
    </row>
    <row r="231" spans="1:25" x14ac:dyDescent="0.25">
      <c r="A231" t="s">
        <v>200</v>
      </c>
      <c r="B231">
        <v>15</v>
      </c>
      <c r="C231">
        <v>2</v>
      </c>
      <c r="D231">
        <v>6</v>
      </c>
      <c r="E231" t="s">
        <v>42</v>
      </c>
      <c r="F231" t="s">
        <v>37</v>
      </c>
      <c r="G231">
        <v>3</v>
      </c>
      <c r="H231">
        <f>stimuli_table[[#This Row],[n_colour1_left]]+stimuli_table[[#This Row],[n_colour2_left]]</f>
        <v>5</v>
      </c>
      <c r="I231" t="s">
        <v>33</v>
      </c>
      <c r="J231" t="s">
        <v>28</v>
      </c>
      <c r="K231" t="s">
        <v>29</v>
      </c>
      <c r="L231" t="s">
        <v>120</v>
      </c>
      <c r="M231" t="s">
        <v>41</v>
      </c>
      <c r="N231" s="4">
        <v>1</v>
      </c>
      <c r="O231" t="s">
        <v>103</v>
      </c>
      <c r="P231" t="s">
        <v>36</v>
      </c>
      <c r="Q231" t="s">
        <v>34</v>
      </c>
      <c r="R231">
        <v>0</v>
      </c>
      <c r="S231" t="s">
        <v>59</v>
      </c>
      <c r="T231">
        <v>5</v>
      </c>
      <c r="U231" t="s">
        <v>27</v>
      </c>
      <c r="V231" t="s">
        <v>34</v>
      </c>
      <c r="W231">
        <v>5</v>
      </c>
      <c r="X231" t="s">
        <v>59</v>
      </c>
      <c r="Y231">
        <v>3</v>
      </c>
    </row>
    <row r="232" spans="1:25" x14ac:dyDescent="0.25">
      <c r="A232" t="s">
        <v>200</v>
      </c>
      <c r="B232">
        <v>15</v>
      </c>
      <c r="C232">
        <v>3</v>
      </c>
      <c r="D232">
        <v>7</v>
      </c>
      <c r="E232" t="s">
        <v>42</v>
      </c>
      <c r="F232" t="s">
        <v>39</v>
      </c>
      <c r="G232">
        <v>3</v>
      </c>
      <c r="H232">
        <f>stimuli_table[[#This Row],[n_colour1_left]]+stimuli_table[[#This Row],[n_colour2_left]]</f>
        <v>5</v>
      </c>
      <c r="I232" t="s">
        <v>33</v>
      </c>
      <c r="J232" t="s">
        <v>28</v>
      </c>
      <c r="K232" t="s">
        <v>29</v>
      </c>
      <c r="L232" t="s">
        <v>120</v>
      </c>
      <c r="M232" t="s">
        <v>41</v>
      </c>
      <c r="N232" s="4">
        <v>2</v>
      </c>
      <c r="O232" t="s">
        <v>103</v>
      </c>
      <c r="P232" t="s">
        <v>36</v>
      </c>
      <c r="Q232" t="s">
        <v>34</v>
      </c>
      <c r="R232">
        <v>2</v>
      </c>
      <c r="S232" t="s">
        <v>59</v>
      </c>
      <c r="T232">
        <v>3</v>
      </c>
      <c r="U232" t="s">
        <v>27</v>
      </c>
      <c r="V232" t="s">
        <v>34</v>
      </c>
      <c r="W232">
        <v>5</v>
      </c>
      <c r="X232" t="s">
        <v>59</v>
      </c>
      <c r="Y232">
        <v>3</v>
      </c>
    </row>
    <row r="233" spans="1:25" x14ac:dyDescent="0.25">
      <c r="A233" t="s">
        <v>200</v>
      </c>
      <c r="B233">
        <v>15</v>
      </c>
      <c r="C233">
        <v>4</v>
      </c>
      <c r="D233">
        <v>8</v>
      </c>
      <c r="E233" t="s">
        <v>42</v>
      </c>
      <c r="F233" t="s">
        <v>40</v>
      </c>
      <c r="G233">
        <v>3</v>
      </c>
      <c r="H233">
        <f>stimuli_table[[#This Row],[n_colour1_left]]+stimuli_table[[#This Row],[n_colour2_left]]</f>
        <v>5</v>
      </c>
      <c r="I233" t="s">
        <v>33</v>
      </c>
      <c r="J233" t="s">
        <v>28</v>
      </c>
      <c r="K233" t="s">
        <v>29</v>
      </c>
      <c r="L233" t="s">
        <v>120</v>
      </c>
      <c r="M233" t="s">
        <v>38</v>
      </c>
      <c r="N233" s="4">
        <v>3</v>
      </c>
      <c r="O233" t="s">
        <v>103</v>
      </c>
      <c r="P233" t="s">
        <v>36</v>
      </c>
      <c r="Q233" t="s">
        <v>34</v>
      </c>
      <c r="R233">
        <v>5</v>
      </c>
      <c r="S233" t="s">
        <v>59</v>
      </c>
      <c r="T233">
        <v>0</v>
      </c>
      <c r="U233" t="s">
        <v>27</v>
      </c>
      <c r="V233" t="s">
        <v>34</v>
      </c>
      <c r="W233">
        <v>5</v>
      </c>
      <c r="X233" t="s">
        <v>59</v>
      </c>
      <c r="Y233">
        <v>3</v>
      </c>
    </row>
    <row r="234" spans="1:25" x14ac:dyDescent="0.25">
      <c r="A234" t="s">
        <v>200</v>
      </c>
      <c r="B234">
        <v>15</v>
      </c>
      <c r="C234">
        <v>1</v>
      </c>
      <c r="D234">
        <v>9</v>
      </c>
      <c r="E234" t="s">
        <v>44</v>
      </c>
      <c r="F234" t="s">
        <v>26</v>
      </c>
      <c r="G234">
        <v>3</v>
      </c>
      <c r="H234">
        <f>stimuli_table[[#This Row],[n_colour1_left]]+stimuli_table[[#This Row],[n_colour2_left]]</f>
        <v>5</v>
      </c>
      <c r="I234" t="s">
        <v>33</v>
      </c>
      <c r="J234" t="s">
        <v>28</v>
      </c>
      <c r="K234" t="s">
        <v>29</v>
      </c>
      <c r="L234" t="s">
        <v>121</v>
      </c>
      <c r="M234" t="s">
        <v>31</v>
      </c>
      <c r="N234" s="1">
        <v>1</v>
      </c>
      <c r="O234" t="s">
        <v>103</v>
      </c>
      <c r="P234" t="s">
        <v>33</v>
      </c>
      <c r="Q234" t="s">
        <v>34</v>
      </c>
      <c r="R234">
        <v>3</v>
      </c>
      <c r="S234" t="s">
        <v>59</v>
      </c>
      <c r="T234">
        <v>2</v>
      </c>
      <c r="U234" t="s">
        <v>27</v>
      </c>
      <c r="V234" t="s">
        <v>34</v>
      </c>
      <c r="W234">
        <v>5</v>
      </c>
      <c r="X234" t="s">
        <v>59</v>
      </c>
      <c r="Y234">
        <v>3</v>
      </c>
    </row>
    <row r="235" spans="1:25" x14ac:dyDescent="0.25">
      <c r="A235" t="s">
        <v>200</v>
      </c>
      <c r="B235">
        <v>15</v>
      </c>
      <c r="C235">
        <v>2</v>
      </c>
      <c r="D235">
        <v>10</v>
      </c>
      <c r="E235" t="s">
        <v>44</v>
      </c>
      <c r="F235" t="s">
        <v>37</v>
      </c>
      <c r="G235">
        <v>3</v>
      </c>
      <c r="H235">
        <f>stimuli_table[[#This Row],[n_colour1_left]]+stimuli_table[[#This Row],[n_colour2_left]]</f>
        <v>5</v>
      </c>
      <c r="I235" t="s">
        <v>33</v>
      </c>
      <c r="J235" t="s">
        <v>28</v>
      </c>
      <c r="K235" t="s">
        <v>29</v>
      </c>
      <c r="L235" t="s">
        <v>121</v>
      </c>
      <c r="M235" t="s">
        <v>41</v>
      </c>
      <c r="N235" s="1">
        <v>2</v>
      </c>
      <c r="O235" t="s">
        <v>103</v>
      </c>
      <c r="P235" t="s">
        <v>36</v>
      </c>
      <c r="Q235" t="s">
        <v>34</v>
      </c>
      <c r="R235">
        <v>0</v>
      </c>
      <c r="S235" t="s">
        <v>59</v>
      </c>
      <c r="T235">
        <v>5</v>
      </c>
      <c r="U235" t="s">
        <v>27</v>
      </c>
      <c r="V235" t="s">
        <v>34</v>
      </c>
      <c r="W235">
        <v>5</v>
      </c>
      <c r="X235" t="s">
        <v>59</v>
      </c>
      <c r="Y235">
        <v>3</v>
      </c>
    </row>
    <row r="236" spans="1:25" x14ac:dyDescent="0.25">
      <c r="A236" t="s">
        <v>200</v>
      </c>
      <c r="B236">
        <v>15</v>
      </c>
      <c r="C236">
        <v>3</v>
      </c>
      <c r="D236">
        <v>11</v>
      </c>
      <c r="E236" t="s">
        <v>44</v>
      </c>
      <c r="F236" t="s">
        <v>39</v>
      </c>
      <c r="G236">
        <v>3</v>
      </c>
      <c r="H236">
        <f>stimuli_table[[#This Row],[n_colour1_left]]+stimuli_table[[#This Row],[n_colour2_left]]</f>
        <v>5</v>
      </c>
      <c r="I236" t="s">
        <v>33</v>
      </c>
      <c r="J236" t="s">
        <v>28</v>
      </c>
      <c r="K236" t="s">
        <v>29</v>
      </c>
      <c r="L236" t="s">
        <v>121</v>
      </c>
      <c r="M236" t="s">
        <v>41</v>
      </c>
      <c r="N236" s="1">
        <v>3</v>
      </c>
      <c r="O236" t="s">
        <v>103</v>
      </c>
      <c r="P236" t="s">
        <v>36</v>
      </c>
      <c r="Q236" t="s">
        <v>34</v>
      </c>
      <c r="R236">
        <v>2</v>
      </c>
      <c r="S236" t="s">
        <v>59</v>
      </c>
      <c r="T236">
        <v>3</v>
      </c>
      <c r="U236" t="s">
        <v>27</v>
      </c>
      <c r="V236" t="s">
        <v>34</v>
      </c>
      <c r="W236">
        <v>5</v>
      </c>
      <c r="X236" t="s">
        <v>59</v>
      </c>
      <c r="Y236">
        <v>3</v>
      </c>
    </row>
    <row r="237" spans="1:25" x14ac:dyDescent="0.25">
      <c r="A237" t="s">
        <v>200</v>
      </c>
      <c r="B237">
        <v>15</v>
      </c>
      <c r="C237">
        <v>4</v>
      </c>
      <c r="D237">
        <v>12</v>
      </c>
      <c r="E237" t="s">
        <v>44</v>
      </c>
      <c r="F237" t="s">
        <v>40</v>
      </c>
      <c r="G237">
        <v>3</v>
      </c>
      <c r="H237">
        <f>stimuli_table[[#This Row],[n_colour1_left]]+stimuli_table[[#This Row],[n_colour2_left]]</f>
        <v>5</v>
      </c>
      <c r="I237" t="s">
        <v>33</v>
      </c>
      <c r="J237" t="s">
        <v>28</v>
      </c>
      <c r="K237" t="s">
        <v>29</v>
      </c>
      <c r="L237" t="s">
        <v>121</v>
      </c>
      <c r="M237" t="s">
        <v>38</v>
      </c>
      <c r="N237" s="1">
        <v>4</v>
      </c>
      <c r="O237" t="s">
        <v>103</v>
      </c>
      <c r="P237" t="s">
        <v>36</v>
      </c>
      <c r="Q237" t="s">
        <v>34</v>
      </c>
      <c r="R237">
        <v>5</v>
      </c>
      <c r="S237" t="s">
        <v>59</v>
      </c>
      <c r="T237">
        <v>0</v>
      </c>
      <c r="U237" t="s">
        <v>27</v>
      </c>
      <c r="V237" t="s">
        <v>34</v>
      </c>
      <c r="W237">
        <v>5</v>
      </c>
      <c r="X237" t="s">
        <v>59</v>
      </c>
      <c r="Y237">
        <v>3</v>
      </c>
    </row>
    <row r="238" spans="1:25" x14ac:dyDescent="0.25">
      <c r="A238" t="s">
        <v>200</v>
      </c>
      <c r="B238">
        <v>15</v>
      </c>
      <c r="C238">
        <v>1</v>
      </c>
      <c r="D238">
        <v>13</v>
      </c>
      <c r="E238" t="s">
        <v>46</v>
      </c>
      <c r="F238" t="s">
        <v>26</v>
      </c>
      <c r="G238">
        <v>3</v>
      </c>
      <c r="H238">
        <f>stimuli_table[[#This Row],[n_colour1_left]]+stimuli_table[[#This Row],[n_colour2_left]]</f>
        <v>5</v>
      </c>
      <c r="I238" t="s">
        <v>33</v>
      </c>
      <c r="J238" t="s">
        <v>28</v>
      </c>
      <c r="K238" t="s">
        <v>29</v>
      </c>
      <c r="L238" t="s">
        <v>122</v>
      </c>
      <c r="M238" t="s">
        <v>31</v>
      </c>
      <c r="N238" s="2">
        <v>2</v>
      </c>
      <c r="O238" t="s">
        <v>103</v>
      </c>
      <c r="P238" t="s">
        <v>33</v>
      </c>
      <c r="Q238" t="s">
        <v>34</v>
      </c>
      <c r="R238">
        <v>3</v>
      </c>
      <c r="S238" t="s">
        <v>59</v>
      </c>
      <c r="T238">
        <v>2</v>
      </c>
      <c r="U238" t="s">
        <v>27</v>
      </c>
      <c r="V238" t="s">
        <v>34</v>
      </c>
      <c r="W238">
        <v>5</v>
      </c>
      <c r="X238" t="s">
        <v>59</v>
      </c>
      <c r="Y238">
        <v>3</v>
      </c>
    </row>
    <row r="239" spans="1:25" x14ac:dyDescent="0.25">
      <c r="A239" t="s">
        <v>200</v>
      </c>
      <c r="B239">
        <v>15</v>
      </c>
      <c r="C239">
        <v>2</v>
      </c>
      <c r="D239">
        <v>14</v>
      </c>
      <c r="E239" t="s">
        <v>46</v>
      </c>
      <c r="F239" t="s">
        <v>37</v>
      </c>
      <c r="G239">
        <v>3</v>
      </c>
      <c r="H239">
        <f>stimuli_table[[#This Row],[n_colour1_left]]+stimuli_table[[#This Row],[n_colour2_left]]</f>
        <v>5</v>
      </c>
      <c r="I239" t="s">
        <v>33</v>
      </c>
      <c r="J239" t="s">
        <v>28</v>
      </c>
      <c r="K239" t="s">
        <v>29</v>
      </c>
      <c r="L239" t="s">
        <v>122</v>
      </c>
      <c r="M239" t="s">
        <v>38</v>
      </c>
      <c r="N239" s="2">
        <v>3</v>
      </c>
      <c r="O239" t="s">
        <v>103</v>
      </c>
      <c r="P239" t="s">
        <v>36</v>
      </c>
      <c r="Q239" t="s">
        <v>34</v>
      </c>
      <c r="R239">
        <v>0</v>
      </c>
      <c r="S239" t="s">
        <v>59</v>
      </c>
      <c r="T239">
        <v>5</v>
      </c>
      <c r="U239" t="s">
        <v>27</v>
      </c>
      <c r="V239" t="s">
        <v>34</v>
      </c>
      <c r="W239">
        <v>5</v>
      </c>
      <c r="X239" t="s">
        <v>59</v>
      </c>
      <c r="Y239">
        <v>3</v>
      </c>
    </row>
    <row r="240" spans="1:25" x14ac:dyDescent="0.25">
      <c r="A240" t="s">
        <v>200</v>
      </c>
      <c r="B240">
        <v>15</v>
      </c>
      <c r="C240">
        <v>3</v>
      </c>
      <c r="D240">
        <v>15</v>
      </c>
      <c r="E240" t="s">
        <v>46</v>
      </c>
      <c r="F240" t="s">
        <v>39</v>
      </c>
      <c r="G240">
        <v>3</v>
      </c>
      <c r="H240">
        <f>stimuli_table[[#This Row],[n_colour1_left]]+stimuli_table[[#This Row],[n_colour2_left]]</f>
        <v>5</v>
      </c>
      <c r="I240" t="s">
        <v>33</v>
      </c>
      <c r="J240" t="s">
        <v>28</v>
      </c>
      <c r="K240" t="s">
        <v>29</v>
      </c>
      <c r="L240" t="s">
        <v>122</v>
      </c>
      <c r="M240" t="s">
        <v>41</v>
      </c>
      <c r="N240" s="2">
        <v>4</v>
      </c>
      <c r="O240" t="s">
        <v>103</v>
      </c>
      <c r="P240" t="s">
        <v>36</v>
      </c>
      <c r="Q240" t="s">
        <v>34</v>
      </c>
      <c r="R240">
        <v>2</v>
      </c>
      <c r="S240" t="s">
        <v>59</v>
      </c>
      <c r="T240">
        <v>3</v>
      </c>
      <c r="U240" t="s">
        <v>27</v>
      </c>
      <c r="V240" t="s">
        <v>34</v>
      </c>
      <c r="W240">
        <v>5</v>
      </c>
      <c r="X240" t="s">
        <v>59</v>
      </c>
      <c r="Y240">
        <v>3</v>
      </c>
    </row>
    <row r="241" spans="1:25" x14ac:dyDescent="0.25">
      <c r="A241" t="s">
        <v>200</v>
      </c>
      <c r="B241">
        <v>15</v>
      </c>
      <c r="C241">
        <v>4</v>
      </c>
      <c r="D241">
        <v>16</v>
      </c>
      <c r="E241" t="s">
        <v>46</v>
      </c>
      <c r="F241" t="s">
        <v>40</v>
      </c>
      <c r="G241">
        <v>3</v>
      </c>
      <c r="H241">
        <f>stimuli_table[[#This Row],[n_colour1_left]]+stimuli_table[[#This Row],[n_colour2_left]]</f>
        <v>5</v>
      </c>
      <c r="I241" t="s">
        <v>33</v>
      </c>
      <c r="J241" t="s">
        <v>28</v>
      </c>
      <c r="K241" t="s">
        <v>29</v>
      </c>
      <c r="L241" t="s">
        <v>122</v>
      </c>
      <c r="M241" t="s">
        <v>41</v>
      </c>
      <c r="N241" s="2">
        <v>1</v>
      </c>
      <c r="O241" t="s">
        <v>103</v>
      </c>
      <c r="P241" t="s">
        <v>36</v>
      </c>
      <c r="Q241" t="s">
        <v>34</v>
      </c>
      <c r="R241">
        <v>5</v>
      </c>
      <c r="S241" t="s">
        <v>59</v>
      </c>
      <c r="T241">
        <v>0</v>
      </c>
      <c r="U241" t="s">
        <v>27</v>
      </c>
      <c r="V241" t="s">
        <v>34</v>
      </c>
      <c r="W241">
        <v>5</v>
      </c>
      <c r="X241" t="s">
        <v>59</v>
      </c>
      <c r="Y241">
        <v>3</v>
      </c>
    </row>
    <row r="242" spans="1:25" x14ac:dyDescent="0.25">
      <c r="A242" t="s">
        <v>200</v>
      </c>
      <c r="B242">
        <v>16</v>
      </c>
      <c r="C242">
        <v>1</v>
      </c>
      <c r="D242">
        <v>1</v>
      </c>
      <c r="E242" t="s">
        <v>25</v>
      </c>
      <c r="F242" t="s">
        <v>26</v>
      </c>
      <c r="G242">
        <v>4</v>
      </c>
      <c r="H242">
        <f>stimuli_table[[#This Row],[n_colour1_left]]+stimuli_table[[#This Row],[n_colour2_left]]</f>
        <v>7</v>
      </c>
      <c r="I242" t="s">
        <v>50</v>
      </c>
      <c r="J242" t="s">
        <v>123</v>
      </c>
      <c r="K242" t="s">
        <v>29</v>
      </c>
      <c r="L242" t="s">
        <v>124</v>
      </c>
      <c r="M242" t="s">
        <v>31</v>
      </c>
      <c r="N242" s="4">
        <v>4</v>
      </c>
      <c r="O242" t="s">
        <v>103</v>
      </c>
      <c r="P242" t="s">
        <v>27</v>
      </c>
      <c r="Q242" t="s">
        <v>66</v>
      </c>
      <c r="R242">
        <v>3</v>
      </c>
      <c r="S242" t="s">
        <v>58</v>
      </c>
      <c r="T242">
        <v>4</v>
      </c>
      <c r="U242" t="s">
        <v>52</v>
      </c>
      <c r="V242" t="s">
        <v>66</v>
      </c>
      <c r="W242">
        <v>3</v>
      </c>
      <c r="X242" t="s">
        <v>58</v>
      </c>
      <c r="Y242">
        <v>3</v>
      </c>
    </row>
    <row r="243" spans="1:25" x14ac:dyDescent="0.25">
      <c r="A243" t="s">
        <v>200</v>
      </c>
      <c r="B243">
        <v>16</v>
      </c>
      <c r="C243">
        <v>2</v>
      </c>
      <c r="D243">
        <v>2</v>
      </c>
      <c r="E243" t="s">
        <v>25</v>
      </c>
      <c r="F243" t="s">
        <v>37</v>
      </c>
      <c r="G243">
        <v>4</v>
      </c>
      <c r="H243">
        <f>stimuli_table[[#This Row],[n_colour1_left]]+stimuli_table[[#This Row],[n_colour2_left]]</f>
        <v>7</v>
      </c>
      <c r="I243" t="s">
        <v>50</v>
      </c>
      <c r="J243" t="s">
        <v>123</v>
      </c>
      <c r="K243" t="s">
        <v>29</v>
      </c>
      <c r="L243" t="s">
        <v>124</v>
      </c>
      <c r="M243" t="s">
        <v>38</v>
      </c>
      <c r="N243" s="4">
        <v>1</v>
      </c>
      <c r="O243" t="s">
        <v>103</v>
      </c>
      <c r="P243" t="s">
        <v>50</v>
      </c>
      <c r="Q243" t="s">
        <v>66</v>
      </c>
      <c r="R243">
        <v>0</v>
      </c>
      <c r="S243" t="s">
        <v>58</v>
      </c>
      <c r="T243">
        <v>7</v>
      </c>
      <c r="U243" t="s">
        <v>52</v>
      </c>
      <c r="V243" t="s">
        <v>66</v>
      </c>
      <c r="W243">
        <v>3</v>
      </c>
      <c r="X243" t="s">
        <v>58</v>
      </c>
      <c r="Y243">
        <v>3</v>
      </c>
    </row>
    <row r="244" spans="1:25" x14ac:dyDescent="0.25">
      <c r="A244" t="s">
        <v>200</v>
      </c>
      <c r="B244">
        <v>16</v>
      </c>
      <c r="C244">
        <v>3</v>
      </c>
      <c r="D244">
        <v>3</v>
      </c>
      <c r="E244" t="s">
        <v>25</v>
      </c>
      <c r="F244" t="s">
        <v>39</v>
      </c>
      <c r="G244">
        <v>4</v>
      </c>
      <c r="H244">
        <f>stimuli_table[[#This Row],[n_colour1_left]]+stimuli_table[[#This Row],[n_colour2_left]]</f>
        <v>7</v>
      </c>
      <c r="I244" t="s">
        <v>50</v>
      </c>
      <c r="J244" t="s">
        <v>123</v>
      </c>
      <c r="K244" t="s">
        <v>29</v>
      </c>
      <c r="L244" t="s">
        <v>124</v>
      </c>
      <c r="M244" t="s">
        <v>38</v>
      </c>
      <c r="N244" s="4">
        <v>2</v>
      </c>
      <c r="O244" t="s">
        <v>103</v>
      </c>
      <c r="P244" t="s">
        <v>50</v>
      </c>
      <c r="Q244" t="s">
        <v>66</v>
      </c>
      <c r="R244">
        <v>2</v>
      </c>
      <c r="S244" t="s">
        <v>58</v>
      </c>
      <c r="T244">
        <v>5</v>
      </c>
      <c r="U244" t="s">
        <v>52</v>
      </c>
      <c r="V244" t="s">
        <v>66</v>
      </c>
      <c r="W244">
        <v>3</v>
      </c>
      <c r="X244" t="s">
        <v>58</v>
      </c>
      <c r="Y244">
        <v>3</v>
      </c>
    </row>
    <row r="245" spans="1:25" x14ac:dyDescent="0.25">
      <c r="A245" t="s">
        <v>200</v>
      </c>
      <c r="B245">
        <v>16</v>
      </c>
      <c r="C245">
        <v>4</v>
      </c>
      <c r="D245">
        <v>4</v>
      </c>
      <c r="E245" t="s">
        <v>25</v>
      </c>
      <c r="F245" t="s">
        <v>40</v>
      </c>
      <c r="G245">
        <v>4</v>
      </c>
      <c r="H245">
        <f>stimuli_table[[#This Row],[n_colour1_left]]+stimuli_table[[#This Row],[n_colour2_left]]</f>
        <v>7</v>
      </c>
      <c r="I245" t="s">
        <v>50</v>
      </c>
      <c r="J245" t="s">
        <v>123</v>
      </c>
      <c r="K245" t="s">
        <v>29</v>
      </c>
      <c r="L245" t="s">
        <v>124</v>
      </c>
      <c r="M245" t="s">
        <v>41</v>
      </c>
      <c r="N245" s="4">
        <v>3</v>
      </c>
      <c r="O245" t="s">
        <v>103</v>
      </c>
      <c r="P245" t="s">
        <v>50</v>
      </c>
      <c r="Q245" t="s">
        <v>66</v>
      </c>
      <c r="R245">
        <v>7</v>
      </c>
      <c r="S245" t="s">
        <v>58</v>
      </c>
      <c r="T245">
        <v>0</v>
      </c>
      <c r="U245" t="s">
        <v>52</v>
      </c>
      <c r="V245" t="s">
        <v>66</v>
      </c>
      <c r="W245">
        <v>3</v>
      </c>
      <c r="X245" t="s">
        <v>58</v>
      </c>
      <c r="Y245">
        <v>3</v>
      </c>
    </row>
    <row r="246" spans="1:25" x14ac:dyDescent="0.25">
      <c r="A246" t="s">
        <v>200</v>
      </c>
      <c r="B246">
        <v>16</v>
      </c>
      <c r="C246">
        <v>1</v>
      </c>
      <c r="D246">
        <v>5</v>
      </c>
      <c r="E246" t="s">
        <v>42</v>
      </c>
      <c r="F246" t="s">
        <v>26</v>
      </c>
      <c r="G246">
        <v>4</v>
      </c>
      <c r="H246">
        <f>stimuli_table[[#This Row],[n_colour1_left]]+stimuli_table[[#This Row],[n_colour2_left]]</f>
        <v>7</v>
      </c>
      <c r="I246" t="s">
        <v>50</v>
      </c>
      <c r="J246" t="s">
        <v>123</v>
      </c>
      <c r="K246" t="s">
        <v>29</v>
      </c>
      <c r="L246" t="s">
        <v>125</v>
      </c>
      <c r="M246" t="s">
        <v>31</v>
      </c>
      <c r="N246" s="1">
        <v>1</v>
      </c>
      <c r="O246" t="s">
        <v>103</v>
      </c>
      <c r="P246" t="s">
        <v>27</v>
      </c>
      <c r="Q246" t="s">
        <v>66</v>
      </c>
      <c r="R246">
        <v>3</v>
      </c>
      <c r="S246" t="s">
        <v>58</v>
      </c>
      <c r="T246">
        <v>4</v>
      </c>
      <c r="U246" t="s">
        <v>52</v>
      </c>
      <c r="V246" t="s">
        <v>66</v>
      </c>
      <c r="W246">
        <v>3</v>
      </c>
      <c r="X246" t="s">
        <v>58</v>
      </c>
      <c r="Y246">
        <v>3</v>
      </c>
    </row>
    <row r="247" spans="1:25" x14ac:dyDescent="0.25">
      <c r="A247" t="s">
        <v>200</v>
      </c>
      <c r="B247">
        <v>16</v>
      </c>
      <c r="C247">
        <v>2</v>
      </c>
      <c r="D247">
        <v>6</v>
      </c>
      <c r="E247" t="s">
        <v>42</v>
      </c>
      <c r="F247" t="s">
        <v>37</v>
      </c>
      <c r="G247">
        <v>4</v>
      </c>
      <c r="H247">
        <f>stimuli_table[[#This Row],[n_colour1_left]]+stimuli_table[[#This Row],[n_colour2_left]]</f>
        <v>7</v>
      </c>
      <c r="I247" t="s">
        <v>50</v>
      </c>
      <c r="J247" t="s">
        <v>123</v>
      </c>
      <c r="K247" t="s">
        <v>29</v>
      </c>
      <c r="L247" t="s">
        <v>125</v>
      </c>
      <c r="M247" t="s">
        <v>41</v>
      </c>
      <c r="N247" s="1">
        <v>2</v>
      </c>
      <c r="O247" t="s">
        <v>103</v>
      </c>
      <c r="P247" t="s">
        <v>50</v>
      </c>
      <c r="Q247" t="s">
        <v>66</v>
      </c>
      <c r="R247">
        <v>0</v>
      </c>
      <c r="S247" t="s">
        <v>58</v>
      </c>
      <c r="T247">
        <v>7</v>
      </c>
      <c r="U247" t="s">
        <v>52</v>
      </c>
      <c r="V247" t="s">
        <v>66</v>
      </c>
      <c r="W247">
        <v>3</v>
      </c>
      <c r="X247" t="s">
        <v>58</v>
      </c>
      <c r="Y247">
        <v>3</v>
      </c>
    </row>
    <row r="248" spans="1:25" x14ac:dyDescent="0.25">
      <c r="A248" t="s">
        <v>200</v>
      </c>
      <c r="B248">
        <v>16</v>
      </c>
      <c r="C248">
        <v>3</v>
      </c>
      <c r="D248">
        <v>7</v>
      </c>
      <c r="E248" t="s">
        <v>42</v>
      </c>
      <c r="F248" t="s">
        <v>39</v>
      </c>
      <c r="G248">
        <v>4</v>
      </c>
      <c r="H248">
        <f>stimuli_table[[#This Row],[n_colour1_left]]+stimuli_table[[#This Row],[n_colour2_left]]</f>
        <v>7</v>
      </c>
      <c r="I248" t="s">
        <v>50</v>
      </c>
      <c r="J248" t="s">
        <v>123</v>
      </c>
      <c r="K248" t="s">
        <v>29</v>
      </c>
      <c r="L248" t="s">
        <v>125</v>
      </c>
      <c r="M248" t="s">
        <v>41</v>
      </c>
      <c r="N248" s="1">
        <v>3</v>
      </c>
      <c r="O248" t="s">
        <v>103</v>
      </c>
      <c r="P248" t="s">
        <v>50</v>
      </c>
      <c r="Q248" t="s">
        <v>66</v>
      </c>
      <c r="R248">
        <v>2</v>
      </c>
      <c r="S248" t="s">
        <v>58</v>
      </c>
      <c r="T248">
        <v>5</v>
      </c>
      <c r="U248" t="s">
        <v>52</v>
      </c>
      <c r="V248" t="s">
        <v>66</v>
      </c>
      <c r="W248">
        <v>3</v>
      </c>
      <c r="X248" t="s">
        <v>58</v>
      </c>
      <c r="Y248">
        <v>3</v>
      </c>
    </row>
    <row r="249" spans="1:25" x14ac:dyDescent="0.25">
      <c r="A249" t="s">
        <v>200</v>
      </c>
      <c r="B249">
        <v>16</v>
      </c>
      <c r="C249">
        <v>4</v>
      </c>
      <c r="D249">
        <v>8</v>
      </c>
      <c r="E249" t="s">
        <v>42</v>
      </c>
      <c r="F249" t="s">
        <v>40</v>
      </c>
      <c r="G249">
        <v>4</v>
      </c>
      <c r="H249">
        <f>stimuli_table[[#This Row],[n_colour1_left]]+stimuli_table[[#This Row],[n_colour2_left]]</f>
        <v>7</v>
      </c>
      <c r="I249" t="s">
        <v>50</v>
      </c>
      <c r="J249" t="s">
        <v>123</v>
      </c>
      <c r="K249" t="s">
        <v>29</v>
      </c>
      <c r="L249" t="s">
        <v>125</v>
      </c>
      <c r="M249" t="s">
        <v>38</v>
      </c>
      <c r="N249" s="1">
        <v>4</v>
      </c>
      <c r="O249" t="s">
        <v>103</v>
      </c>
      <c r="P249" t="s">
        <v>50</v>
      </c>
      <c r="Q249" t="s">
        <v>66</v>
      </c>
      <c r="R249">
        <v>7</v>
      </c>
      <c r="S249" t="s">
        <v>58</v>
      </c>
      <c r="T249">
        <v>0</v>
      </c>
      <c r="U249" t="s">
        <v>52</v>
      </c>
      <c r="V249" t="s">
        <v>66</v>
      </c>
      <c r="W249">
        <v>3</v>
      </c>
      <c r="X249" t="s">
        <v>58</v>
      </c>
      <c r="Y249">
        <v>3</v>
      </c>
    </row>
    <row r="250" spans="1:25" x14ac:dyDescent="0.25">
      <c r="A250" t="s">
        <v>200</v>
      </c>
      <c r="B250">
        <v>16</v>
      </c>
      <c r="C250">
        <v>1</v>
      </c>
      <c r="D250">
        <v>9</v>
      </c>
      <c r="E250" t="s">
        <v>44</v>
      </c>
      <c r="F250" t="s">
        <v>26</v>
      </c>
      <c r="G250">
        <v>4</v>
      </c>
      <c r="H250">
        <f>stimuli_table[[#This Row],[n_colour1_left]]+stimuli_table[[#This Row],[n_colour2_left]]</f>
        <v>7</v>
      </c>
      <c r="I250" t="s">
        <v>50</v>
      </c>
      <c r="J250" t="s">
        <v>123</v>
      </c>
      <c r="K250" t="s">
        <v>29</v>
      </c>
      <c r="L250" t="s">
        <v>126</v>
      </c>
      <c r="M250" t="s">
        <v>31</v>
      </c>
      <c r="N250" s="2">
        <v>2</v>
      </c>
      <c r="O250" t="s">
        <v>103</v>
      </c>
      <c r="P250" t="s">
        <v>27</v>
      </c>
      <c r="Q250" t="s">
        <v>66</v>
      </c>
      <c r="R250">
        <v>3</v>
      </c>
      <c r="S250" t="s">
        <v>58</v>
      </c>
      <c r="T250">
        <v>4</v>
      </c>
      <c r="U250" t="s">
        <v>52</v>
      </c>
      <c r="V250" t="s">
        <v>66</v>
      </c>
      <c r="W250">
        <v>3</v>
      </c>
      <c r="X250" t="s">
        <v>58</v>
      </c>
      <c r="Y250">
        <v>3</v>
      </c>
    </row>
    <row r="251" spans="1:25" x14ac:dyDescent="0.25">
      <c r="A251" t="s">
        <v>200</v>
      </c>
      <c r="B251">
        <v>16</v>
      </c>
      <c r="C251">
        <v>2</v>
      </c>
      <c r="D251">
        <v>10</v>
      </c>
      <c r="E251" t="s">
        <v>44</v>
      </c>
      <c r="F251" t="s">
        <v>37</v>
      </c>
      <c r="G251">
        <v>4</v>
      </c>
      <c r="H251">
        <f>stimuli_table[[#This Row],[n_colour1_left]]+stimuli_table[[#This Row],[n_colour2_left]]</f>
        <v>7</v>
      </c>
      <c r="I251" t="s">
        <v>50</v>
      </c>
      <c r="J251" t="s">
        <v>123</v>
      </c>
      <c r="K251" t="s">
        <v>29</v>
      </c>
      <c r="L251" t="s">
        <v>126</v>
      </c>
      <c r="M251" t="s">
        <v>41</v>
      </c>
      <c r="N251" s="2">
        <v>3</v>
      </c>
      <c r="O251" t="s">
        <v>103</v>
      </c>
      <c r="P251" t="s">
        <v>50</v>
      </c>
      <c r="Q251" t="s">
        <v>66</v>
      </c>
      <c r="R251">
        <v>0</v>
      </c>
      <c r="S251" t="s">
        <v>58</v>
      </c>
      <c r="T251">
        <v>7</v>
      </c>
      <c r="U251" t="s">
        <v>52</v>
      </c>
      <c r="V251" t="s">
        <v>66</v>
      </c>
      <c r="W251">
        <v>3</v>
      </c>
      <c r="X251" t="s">
        <v>58</v>
      </c>
      <c r="Y251">
        <v>3</v>
      </c>
    </row>
    <row r="252" spans="1:25" x14ac:dyDescent="0.25">
      <c r="A252" t="s">
        <v>200</v>
      </c>
      <c r="B252">
        <v>16</v>
      </c>
      <c r="C252">
        <v>3</v>
      </c>
      <c r="D252">
        <v>11</v>
      </c>
      <c r="E252" t="s">
        <v>44</v>
      </c>
      <c r="F252" t="s">
        <v>39</v>
      </c>
      <c r="G252">
        <v>4</v>
      </c>
      <c r="H252">
        <f>stimuli_table[[#This Row],[n_colour1_left]]+stimuli_table[[#This Row],[n_colour2_left]]</f>
        <v>7</v>
      </c>
      <c r="I252" t="s">
        <v>50</v>
      </c>
      <c r="J252" t="s">
        <v>123</v>
      </c>
      <c r="K252" t="s">
        <v>29</v>
      </c>
      <c r="L252" t="s">
        <v>126</v>
      </c>
      <c r="M252" t="s">
        <v>41</v>
      </c>
      <c r="N252" s="2">
        <v>4</v>
      </c>
      <c r="O252" t="s">
        <v>103</v>
      </c>
      <c r="P252" t="s">
        <v>50</v>
      </c>
      <c r="Q252" t="s">
        <v>66</v>
      </c>
      <c r="R252">
        <v>2</v>
      </c>
      <c r="S252" t="s">
        <v>58</v>
      </c>
      <c r="T252">
        <v>5</v>
      </c>
      <c r="U252" t="s">
        <v>52</v>
      </c>
      <c r="V252" t="s">
        <v>66</v>
      </c>
      <c r="W252">
        <v>3</v>
      </c>
      <c r="X252" t="s">
        <v>58</v>
      </c>
      <c r="Y252">
        <v>3</v>
      </c>
    </row>
    <row r="253" spans="1:25" x14ac:dyDescent="0.25">
      <c r="A253" t="s">
        <v>200</v>
      </c>
      <c r="B253">
        <v>16</v>
      </c>
      <c r="C253">
        <v>4</v>
      </c>
      <c r="D253">
        <v>12</v>
      </c>
      <c r="E253" t="s">
        <v>44</v>
      </c>
      <c r="F253" t="s">
        <v>40</v>
      </c>
      <c r="G253">
        <v>4</v>
      </c>
      <c r="H253">
        <f>stimuli_table[[#This Row],[n_colour1_left]]+stimuli_table[[#This Row],[n_colour2_left]]</f>
        <v>7</v>
      </c>
      <c r="I253" t="s">
        <v>50</v>
      </c>
      <c r="J253" t="s">
        <v>123</v>
      </c>
      <c r="K253" t="s">
        <v>29</v>
      </c>
      <c r="L253" t="s">
        <v>126</v>
      </c>
      <c r="M253" t="s">
        <v>38</v>
      </c>
      <c r="N253" s="2">
        <v>1</v>
      </c>
      <c r="O253" t="s">
        <v>103</v>
      </c>
      <c r="P253" t="s">
        <v>50</v>
      </c>
      <c r="Q253" t="s">
        <v>66</v>
      </c>
      <c r="R253">
        <v>7</v>
      </c>
      <c r="S253" t="s">
        <v>58</v>
      </c>
      <c r="T253">
        <v>0</v>
      </c>
      <c r="U253" t="s">
        <v>52</v>
      </c>
      <c r="V253" t="s">
        <v>66</v>
      </c>
      <c r="W253">
        <v>3</v>
      </c>
      <c r="X253" t="s">
        <v>58</v>
      </c>
      <c r="Y253">
        <v>3</v>
      </c>
    </row>
    <row r="254" spans="1:25" x14ac:dyDescent="0.25">
      <c r="A254" t="s">
        <v>200</v>
      </c>
      <c r="B254">
        <v>16</v>
      </c>
      <c r="C254">
        <v>1</v>
      </c>
      <c r="D254">
        <v>13</v>
      </c>
      <c r="E254" t="s">
        <v>46</v>
      </c>
      <c r="F254" t="s">
        <v>26</v>
      </c>
      <c r="G254">
        <v>4</v>
      </c>
      <c r="H254">
        <f>stimuli_table[[#This Row],[n_colour1_left]]+stimuli_table[[#This Row],[n_colour2_left]]</f>
        <v>7</v>
      </c>
      <c r="I254" t="s">
        <v>50</v>
      </c>
      <c r="J254" t="s">
        <v>123</v>
      </c>
      <c r="K254" t="s">
        <v>29</v>
      </c>
      <c r="L254" t="s">
        <v>127</v>
      </c>
      <c r="M254" t="s">
        <v>31</v>
      </c>
      <c r="N254" s="3">
        <v>3</v>
      </c>
      <c r="O254" t="s">
        <v>103</v>
      </c>
      <c r="P254" t="s">
        <v>27</v>
      </c>
      <c r="Q254" t="s">
        <v>66</v>
      </c>
      <c r="R254">
        <v>3</v>
      </c>
      <c r="S254" t="s">
        <v>58</v>
      </c>
      <c r="T254">
        <v>4</v>
      </c>
      <c r="U254" t="s">
        <v>52</v>
      </c>
      <c r="V254" t="s">
        <v>66</v>
      </c>
      <c r="W254">
        <v>3</v>
      </c>
      <c r="X254" t="s">
        <v>58</v>
      </c>
      <c r="Y254">
        <v>3</v>
      </c>
    </row>
    <row r="255" spans="1:25" x14ac:dyDescent="0.25">
      <c r="A255" t="s">
        <v>200</v>
      </c>
      <c r="B255">
        <v>16</v>
      </c>
      <c r="C255">
        <v>2</v>
      </c>
      <c r="D255">
        <v>14</v>
      </c>
      <c r="E255" t="s">
        <v>46</v>
      </c>
      <c r="F255" t="s">
        <v>37</v>
      </c>
      <c r="G255">
        <v>4</v>
      </c>
      <c r="H255">
        <f>stimuli_table[[#This Row],[n_colour1_left]]+stimuli_table[[#This Row],[n_colour2_left]]</f>
        <v>7</v>
      </c>
      <c r="I255" t="s">
        <v>50</v>
      </c>
      <c r="J255" t="s">
        <v>123</v>
      </c>
      <c r="K255" t="s">
        <v>29</v>
      </c>
      <c r="L255" t="s">
        <v>127</v>
      </c>
      <c r="M255" t="s">
        <v>38</v>
      </c>
      <c r="N255" s="3">
        <v>4</v>
      </c>
      <c r="O255" t="s">
        <v>103</v>
      </c>
      <c r="P255" t="s">
        <v>50</v>
      </c>
      <c r="Q255" t="s">
        <v>66</v>
      </c>
      <c r="R255">
        <v>0</v>
      </c>
      <c r="S255" t="s">
        <v>58</v>
      </c>
      <c r="T255">
        <v>7</v>
      </c>
      <c r="U255" t="s">
        <v>52</v>
      </c>
      <c r="V255" t="s">
        <v>66</v>
      </c>
      <c r="W255">
        <v>3</v>
      </c>
      <c r="X255" t="s">
        <v>58</v>
      </c>
      <c r="Y255">
        <v>3</v>
      </c>
    </row>
    <row r="256" spans="1:25" x14ac:dyDescent="0.25">
      <c r="A256" t="s">
        <v>200</v>
      </c>
      <c r="B256">
        <v>16</v>
      </c>
      <c r="C256">
        <v>3</v>
      </c>
      <c r="D256">
        <v>15</v>
      </c>
      <c r="E256" t="s">
        <v>46</v>
      </c>
      <c r="F256" t="s">
        <v>39</v>
      </c>
      <c r="G256">
        <v>4</v>
      </c>
      <c r="H256">
        <f>stimuli_table[[#This Row],[n_colour1_left]]+stimuli_table[[#This Row],[n_colour2_left]]</f>
        <v>7</v>
      </c>
      <c r="I256" t="s">
        <v>50</v>
      </c>
      <c r="J256" t="s">
        <v>123</v>
      </c>
      <c r="K256" t="s">
        <v>29</v>
      </c>
      <c r="L256" t="s">
        <v>127</v>
      </c>
      <c r="M256" t="s">
        <v>41</v>
      </c>
      <c r="N256" s="3">
        <v>1</v>
      </c>
      <c r="O256" t="s">
        <v>103</v>
      </c>
      <c r="P256" t="s">
        <v>50</v>
      </c>
      <c r="Q256" t="s">
        <v>66</v>
      </c>
      <c r="R256">
        <v>2</v>
      </c>
      <c r="S256" t="s">
        <v>58</v>
      </c>
      <c r="T256">
        <v>5</v>
      </c>
      <c r="U256" t="s">
        <v>52</v>
      </c>
      <c r="V256" t="s">
        <v>66</v>
      </c>
      <c r="W256">
        <v>3</v>
      </c>
      <c r="X256" t="s">
        <v>58</v>
      </c>
      <c r="Y256">
        <v>3</v>
      </c>
    </row>
    <row r="257" spans="1:25" x14ac:dyDescent="0.25">
      <c r="A257" t="s">
        <v>200</v>
      </c>
      <c r="B257">
        <v>16</v>
      </c>
      <c r="C257">
        <v>4</v>
      </c>
      <c r="D257">
        <v>16</v>
      </c>
      <c r="E257" t="s">
        <v>46</v>
      </c>
      <c r="F257" t="s">
        <v>40</v>
      </c>
      <c r="G257">
        <v>4</v>
      </c>
      <c r="H257">
        <f>stimuli_table[[#This Row],[n_colour1_left]]+stimuli_table[[#This Row],[n_colour2_left]]</f>
        <v>7</v>
      </c>
      <c r="I257" t="s">
        <v>50</v>
      </c>
      <c r="J257" t="s">
        <v>123</v>
      </c>
      <c r="K257" t="s">
        <v>29</v>
      </c>
      <c r="L257" t="s">
        <v>127</v>
      </c>
      <c r="M257" t="s">
        <v>41</v>
      </c>
      <c r="N257" s="3">
        <v>2</v>
      </c>
      <c r="O257" t="s">
        <v>103</v>
      </c>
      <c r="P257" t="s">
        <v>50</v>
      </c>
      <c r="Q257" t="s">
        <v>66</v>
      </c>
      <c r="R257">
        <v>7</v>
      </c>
      <c r="S257" t="s">
        <v>58</v>
      </c>
      <c r="T257">
        <v>0</v>
      </c>
      <c r="U257" t="s">
        <v>52</v>
      </c>
      <c r="V257" t="s">
        <v>66</v>
      </c>
      <c r="W257">
        <v>3</v>
      </c>
      <c r="X257" t="s">
        <v>58</v>
      </c>
      <c r="Y257">
        <v>3</v>
      </c>
    </row>
    <row r="258" spans="1:25" x14ac:dyDescent="0.25">
      <c r="A258" t="s">
        <v>200</v>
      </c>
      <c r="B258">
        <v>17</v>
      </c>
      <c r="C258">
        <v>1</v>
      </c>
      <c r="D258">
        <v>1</v>
      </c>
      <c r="E258" t="s">
        <v>25</v>
      </c>
      <c r="F258" t="s">
        <v>26</v>
      </c>
      <c r="G258">
        <v>3</v>
      </c>
      <c r="H258">
        <f>stimuli_table[[#This Row],[n_colour1_left]]+stimuli_table[[#This Row],[n_colour2_left]]</f>
        <v>6</v>
      </c>
      <c r="I258" t="s">
        <v>33</v>
      </c>
      <c r="J258" t="s">
        <v>70</v>
      </c>
      <c r="K258" t="s">
        <v>29</v>
      </c>
      <c r="L258" t="s">
        <v>128</v>
      </c>
      <c r="M258" t="s">
        <v>31</v>
      </c>
      <c r="N258" s="1">
        <v>1</v>
      </c>
      <c r="O258" t="s">
        <v>103</v>
      </c>
      <c r="P258" t="s">
        <v>36</v>
      </c>
      <c r="Q258" t="s">
        <v>72</v>
      </c>
      <c r="R258">
        <v>3</v>
      </c>
      <c r="S258" t="s">
        <v>66</v>
      </c>
      <c r="T258">
        <v>3</v>
      </c>
      <c r="U258" t="s">
        <v>50</v>
      </c>
      <c r="V258" t="s">
        <v>72</v>
      </c>
      <c r="W258">
        <v>4</v>
      </c>
      <c r="X258" t="s">
        <v>66</v>
      </c>
      <c r="Y258">
        <v>3</v>
      </c>
    </row>
    <row r="259" spans="1:25" x14ac:dyDescent="0.25">
      <c r="A259" t="s">
        <v>200</v>
      </c>
      <c r="B259">
        <v>17</v>
      </c>
      <c r="C259">
        <v>2</v>
      </c>
      <c r="D259">
        <v>2</v>
      </c>
      <c r="E259" t="s">
        <v>25</v>
      </c>
      <c r="F259" t="s">
        <v>37</v>
      </c>
      <c r="G259">
        <v>3</v>
      </c>
      <c r="H259">
        <f>stimuli_table[[#This Row],[n_colour1_left]]+stimuli_table[[#This Row],[n_colour2_left]]</f>
        <v>6</v>
      </c>
      <c r="I259" t="s">
        <v>33</v>
      </c>
      <c r="J259" t="s">
        <v>70</v>
      </c>
      <c r="K259" t="s">
        <v>29</v>
      </c>
      <c r="L259" t="s">
        <v>128</v>
      </c>
      <c r="M259" t="s">
        <v>38</v>
      </c>
      <c r="N259" s="1">
        <v>2</v>
      </c>
      <c r="O259" t="s">
        <v>103</v>
      </c>
      <c r="P259" t="s">
        <v>27</v>
      </c>
      <c r="Q259" t="s">
        <v>72</v>
      </c>
      <c r="R259">
        <v>0</v>
      </c>
      <c r="S259" t="s">
        <v>66</v>
      </c>
      <c r="T259">
        <v>6</v>
      </c>
      <c r="U259" t="s">
        <v>50</v>
      </c>
      <c r="V259" t="s">
        <v>72</v>
      </c>
      <c r="W259">
        <v>4</v>
      </c>
      <c r="X259" t="s">
        <v>66</v>
      </c>
      <c r="Y259">
        <v>3</v>
      </c>
    </row>
    <row r="260" spans="1:25" x14ac:dyDescent="0.25">
      <c r="A260" t="s">
        <v>200</v>
      </c>
      <c r="B260">
        <v>17</v>
      </c>
      <c r="C260">
        <v>3</v>
      </c>
      <c r="D260">
        <v>3</v>
      </c>
      <c r="E260" t="s">
        <v>25</v>
      </c>
      <c r="F260" t="s">
        <v>39</v>
      </c>
      <c r="G260">
        <v>3</v>
      </c>
      <c r="H260">
        <f>stimuli_table[[#This Row],[n_colour1_left]]+stimuli_table[[#This Row],[n_colour2_left]]</f>
        <v>6</v>
      </c>
      <c r="I260" t="s">
        <v>33</v>
      </c>
      <c r="J260" t="s">
        <v>70</v>
      </c>
      <c r="K260" t="s">
        <v>29</v>
      </c>
      <c r="L260" t="s">
        <v>128</v>
      </c>
      <c r="M260" t="s">
        <v>38</v>
      </c>
      <c r="N260" s="1">
        <v>3</v>
      </c>
      <c r="O260" t="s">
        <v>103</v>
      </c>
      <c r="P260" t="s">
        <v>27</v>
      </c>
      <c r="Q260" t="s">
        <v>72</v>
      </c>
      <c r="R260">
        <v>2</v>
      </c>
      <c r="S260" t="s">
        <v>66</v>
      </c>
      <c r="T260">
        <v>4</v>
      </c>
      <c r="U260" t="s">
        <v>50</v>
      </c>
      <c r="V260" t="s">
        <v>72</v>
      </c>
      <c r="W260">
        <v>4</v>
      </c>
      <c r="X260" t="s">
        <v>66</v>
      </c>
      <c r="Y260">
        <v>3</v>
      </c>
    </row>
    <row r="261" spans="1:25" x14ac:dyDescent="0.25">
      <c r="A261" t="s">
        <v>200</v>
      </c>
      <c r="B261">
        <v>17</v>
      </c>
      <c r="C261">
        <v>4</v>
      </c>
      <c r="D261">
        <v>4</v>
      </c>
      <c r="E261" t="s">
        <v>25</v>
      </c>
      <c r="F261" t="s">
        <v>40</v>
      </c>
      <c r="G261">
        <v>3</v>
      </c>
      <c r="H261">
        <f>stimuli_table[[#This Row],[n_colour1_left]]+stimuli_table[[#This Row],[n_colour2_left]]</f>
        <v>6</v>
      </c>
      <c r="I261" t="s">
        <v>33</v>
      </c>
      <c r="J261" t="s">
        <v>70</v>
      </c>
      <c r="K261" t="s">
        <v>29</v>
      </c>
      <c r="L261" t="s">
        <v>128</v>
      </c>
      <c r="M261" t="s">
        <v>41</v>
      </c>
      <c r="N261" s="1">
        <v>4</v>
      </c>
      <c r="O261" t="s">
        <v>103</v>
      </c>
      <c r="P261" t="s">
        <v>27</v>
      </c>
      <c r="Q261" t="s">
        <v>72</v>
      </c>
      <c r="R261">
        <v>6</v>
      </c>
      <c r="S261" t="s">
        <v>66</v>
      </c>
      <c r="T261">
        <v>0</v>
      </c>
      <c r="U261" t="s">
        <v>50</v>
      </c>
      <c r="V261" t="s">
        <v>72</v>
      </c>
      <c r="W261">
        <v>4</v>
      </c>
      <c r="X261" t="s">
        <v>66</v>
      </c>
      <c r="Y261">
        <v>3</v>
      </c>
    </row>
    <row r="262" spans="1:25" x14ac:dyDescent="0.25">
      <c r="A262" t="s">
        <v>200</v>
      </c>
      <c r="B262">
        <v>17</v>
      </c>
      <c r="C262">
        <v>1</v>
      </c>
      <c r="D262">
        <v>5</v>
      </c>
      <c r="E262" t="s">
        <v>42</v>
      </c>
      <c r="F262" t="s">
        <v>26</v>
      </c>
      <c r="G262">
        <v>3</v>
      </c>
      <c r="H262">
        <f>stimuli_table[[#This Row],[n_colour1_left]]+stimuli_table[[#This Row],[n_colour2_left]]</f>
        <v>6</v>
      </c>
      <c r="I262" t="s">
        <v>33</v>
      </c>
      <c r="J262" t="s">
        <v>70</v>
      </c>
      <c r="K262" t="s">
        <v>29</v>
      </c>
      <c r="L262" t="s">
        <v>129</v>
      </c>
      <c r="M262" t="s">
        <v>31</v>
      </c>
      <c r="N262" s="2">
        <v>2</v>
      </c>
      <c r="O262" t="s">
        <v>103</v>
      </c>
      <c r="P262" t="s">
        <v>36</v>
      </c>
      <c r="Q262" t="s">
        <v>72</v>
      </c>
      <c r="R262">
        <v>3</v>
      </c>
      <c r="S262" t="s">
        <v>66</v>
      </c>
      <c r="T262">
        <v>3</v>
      </c>
      <c r="U262" t="s">
        <v>50</v>
      </c>
      <c r="V262" t="s">
        <v>72</v>
      </c>
      <c r="W262">
        <v>4</v>
      </c>
      <c r="X262" t="s">
        <v>66</v>
      </c>
      <c r="Y262">
        <v>3</v>
      </c>
    </row>
    <row r="263" spans="1:25" x14ac:dyDescent="0.25">
      <c r="A263" t="s">
        <v>200</v>
      </c>
      <c r="B263">
        <v>17</v>
      </c>
      <c r="C263">
        <v>2</v>
      </c>
      <c r="D263">
        <v>6</v>
      </c>
      <c r="E263" t="s">
        <v>42</v>
      </c>
      <c r="F263" t="s">
        <v>37</v>
      </c>
      <c r="G263">
        <v>3</v>
      </c>
      <c r="H263">
        <f>stimuli_table[[#This Row],[n_colour1_left]]+stimuli_table[[#This Row],[n_colour2_left]]</f>
        <v>6</v>
      </c>
      <c r="I263" t="s">
        <v>33</v>
      </c>
      <c r="J263" t="s">
        <v>70</v>
      </c>
      <c r="K263" t="s">
        <v>29</v>
      </c>
      <c r="L263" t="s">
        <v>129</v>
      </c>
      <c r="M263" t="s">
        <v>41</v>
      </c>
      <c r="N263" s="2">
        <v>3</v>
      </c>
      <c r="O263" t="s">
        <v>103</v>
      </c>
      <c r="P263" t="s">
        <v>27</v>
      </c>
      <c r="Q263" t="s">
        <v>72</v>
      </c>
      <c r="R263">
        <v>0</v>
      </c>
      <c r="S263" t="s">
        <v>66</v>
      </c>
      <c r="T263">
        <v>6</v>
      </c>
      <c r="U263" t="s">
        <v>50</v>
      </c>
      <c r="V263" t="s">
        <v>72</v>
      </c>
      <c r="W263">
        <v>4</v>
      </c>
      <c r="X263" t="s">
        <v>66</v>
      </c>
      <c r="Y263">
        <v>3</v>
      </c>
    </row>
    <row r="264" spans="1:25" x14ac:dyDescent="0.25">
      <c r="A264" t="s">
        <v>200</v>
      </c>
      <c r="B264">
        <v>17</v>
      </c>
      <c r="C264">
        <v>3</v>
      </c>
      <c r="D264">
        <v>7</v>
      </c>
      <c r="E264" t="s">
        <v>42</v>
      </c>
      <c r="F264" t="s">
        <v>39</v>
      </c>
      <c r="G264">
        <v>3</v>
      </c>
      <c r="H264">
        <f>stimuli_table[[#This Row],[n_colour1_left]]+stimuli_table[[#This Row],[n_colour2_left]]</f>
        <v>6</v>
      </c>
      <c r="I264" t="s">
        <v>33</v>
      </c>
      <c r="J264" t="s">
        <v>70</v>
      </c>
      <c r="K264" t="s">
        <v>29</v>
      </c>
      <c r="L264" t="s">
        <v>129</v>
      </c>
      <c r="M264" t="s">
        <v>41</v>
      </c>
      <c r="N264" s="2">
        <v>4</v>
      </c>
      <c r="O264" t="s">
        <v>103</v>
      </c>
      <c r="P264" t="s">
        <v>27</v>
      </c>
      <c r="Q264" t="s">
        <v>72</v>
      </c>
      <c r="R264">
        <v>2</v>
      </c>
      <c r="S264" t="s">
        <v>66</v>
      </c>
      <c r="T264">
        <v>4</v>
      </c>
      <c r="U264" t="s">
        <v>50</v>
      </c>
      <c r="V264" t="s">
        <v>72</v>
      </c>
      <c r="W264">
        <v>4</v>
      </c>
      <c r="X264" t="s">
        <v>66</v>
      </c>
      <c r="Y264">
        <v>3</v>
      </c>
    </row>
    <row r="265" spans="1:25" x14ac:dyDescent="0.25">
      <c r="A265" t="s">
        <v>200</v>
      </c>
      <c r="B265">
        <v>17</v>
      </c>
      <c r="C265">
        <v>4</v>
      </c>
      <c r="D265">
        <v>8</v>
      </c>
      <c r="E265" t="s">
        <v>42</v>
      </c>
      <c r="F265" t="s">
        <v>40</v>
      </c>
      <c r="G265">
        <v>3</v>
      </c>
      <c r="H265">
        <f>stimuli_table[[#This Row],[n_colour1_left]]+stimuli_table[[#This Row],[n_colour2_left]]</f>
        <v>6</v>
      </c>
      <c r="I265" t="s">
        <v>33</v>
      </c>
      <c r="J265" t="s">
        <v>70</v>
      </c>
      <c r="K265" t="s">
        <v>29</v>
      </c>
      <c r="L265" t="s">
        <v>129</v>
      </c>
      <c r="M265" t="s">
        <v>38</v>
      </c>
      <c r="N265" s="2">
        <v>1</v>
      </c>
      <c r="O265" t="s">
        <v>103</v>
      </c>
      <c r="P265" t="s">
        <v>27</v>
      </c>
      <c r="Q265" t="s">
        <v>72</v>
      </c>
      <c r="R265">
        <v>6</v>
      </c>
      <c r="S265" t="s">
        <v>66</v>
      </c>
      <c r="T265">
        <v>0</v>
      </c>
      <c r="U265" t="s">
        <v>50</v>
      </c>
      <c r="V265" t="s">
        <v>72</v>
      </c>
      <c r="W265">
        <v>4</v>
      </c>
      <c r="X265" t="s">
        <v>66</v>
      </c>
      <c r="Y265">
        <v>3</v>
      </c>
    </row>
    <row r="266" spans="1:25" x14ac:dyDescent="0.25">
      <c r="A266" t="s">
        <v>200</v>
      </c>
      <c r="B266">
        <v>17</v>
      </c>
      <c r="C266">
        <v>1</v>
      </c>
      <c r="D266">
        <v>9</v>
      </c>
      <c r="E266" t="s">
        <v>44</v>
      </c>
      <c r="F266" t="s">
        <v>26</v>
      </c>
      <c r="G266">
        <v>3</v>
      </c>
      <c r="H266">
        <f>stimuli_table[[#This Row],[n_colour1_left]]+stimuli_table[[#This Row],[n_colour2_left]]</f>
        <v>6</v>
      </c>
      <c r="I266" t="s">
        <v>33</v>
      </c>
      <c r="J266" t="s">
        <v>70</v>
      </c>
      <c r="K266" t="s">
        <v>29</v>
      </c>
      <c r="L266" t="s">
        <v>130</v>
      </c>
      <c r="M266" t="s">
        <v>31</v>
      </c>
      <c r="N266" s="3">
        <v>3</v>
      </c>
      <c r="O266" t="s">
        <v>103</v>
      </c>
      <c r="P266" t="s">
        <v>36</v>
      </c>
      <c r="Q266" t="s">
        <v>72</v>
      </c>
      <c r="R266">
        <v>3</v>
      </c>
      <c r="S266" t="s">
        <v>66</v>
      </c>
      <c r="T266">
        <v>3</v>
      </c>
      <c r="U266" t="s">
        <v>50</v>
      </c>
      <c r="V266" t="s">
        <v>72</v>
      </c>
      <c r="W266">
        <v>4</v>
      </c>
      <c r="X266" t="s">
        <v>66</v>
      </c>
      <c r="Y266">
        <v>3</v>
      </c>
    </row>
    <row r="267" spans="1:25" x14ac:dyDescent="0.25">
      <c r="A267" t="s">
        <v>200</v>
      </c>
      <c r="B267">
        <v>17</v>
      </c>
      <c r="C267">
        <v>2</v>
      </c>
      <c r="D267">
        <v>10</v>
      </c>
      <c r="E267" t="s">
        <v>44</v>
      </c>
      <c r="F267" t="s">
        <v>37</v>
      </c>
      <c r="G267">
        <v>3</v>
      </c>
      <c r="H267">
        <f>stimuli_table[[#This Row],[n_colour1_left]]+stimuli_table[[#This Row],[n_colour2_left]]</f>
        <v>6</v>
      </c>
      <c r="I267" t="s">
        <v>33</v>
      </c>
      <c r="J267" t="s">
        <v>70</v>
      </c>
      <c r="K267" t="s">
        <v>29</v>
      </c>
      <c r="L267" t="s">
        <v>130</v>
      </c>
      <c r="M267" t="s">
        <v>41</v>
      </c>
      <c r="N267" s="3">
        <v>4</v>
      </c>
      <c r="O267" t="s">
        <v>103</v>
      </c>
      <c r="P267" t="s">
        <v>27</v>
      </c>
      <c r="Q267" t="s">
        <v>72</v>
      </c>
      <c r="R267">
        <v>0</v>
      </c>
      <c r="S267" t="s">
        <v>66</v>
      </c>
      <c r="T267">
        <v>6</v>
      </c>
      <c r="U267" t="s">
        <v>50</v>
      </c>
      <c r="V267" t="s">
        <v>72</v>
      </c>
      <c r="W267">
        <v>4</v>
      </c>
      <c r="X267" t="s">
        <v>66</v>
      </c>
      <c r="Y267">
        <v>3</v>
      </c>
    </row>
    <row r="268" spans="1:25" x14ac:dyDescent="0.25">
      <c r="A268" t="s">
        <v>200</v>
      </c>
      <c r="B268">
        <v>17</v>
      </c>
      <c r="C268">
        <v>3</v>
      </c>
      <c r="D268">
        <v>11</v>
      </c>
      <c r="E268" t="s">
        <v>44</v>
      </c>
      <c r="F268" t="s">
        <v>39</v>
      </c>
      <c r="G268">
        <v>3</v>
      </c>
      <c r="H268">
        <f>stimuli_table[[#This Row],[n_colour1_left]]+stimuli_table[[#This Row],[n_colour2_left]]</f>
        <v>6</v>
      </c>
      <c r="I268" t="s">
        <v>33</v>
      </c>
      <c r="J268" t="s">
        <v>70</v>
      </c>
      <c r="K268" t="s">
        <v>29</v>
      </c>
      <c r="L268" t="s">
        <v>130</v>
      </c>
      <c r="M268" t="s">
        <v>41</v>
      </c>
      <c r="N268" s="3">
        <v>1</v>
      </c>
      <c r="O268" t="s">
        <v>103</v>
      </c>
      <c r="P268" t="s">
        <v>27</v>
      </c>
      <c r="Q268" t="s">
        <v>72</v>
      </c>
      <c r="R268">
        <v>2</v>
      </c>
      <c r="S268" t="s">
        <v>66</v>
      </c>
      <c r="T268">
        <v>4</v>
      </c>
      <c r="U268" t="s">
        <v>50</v>
      </c>
      <c r="V268" t="s">
        <v>72</v>
      </c>
      <c r="W268">
        <v>4</v>
      </c>
      <c r="X268" t="s">
        <v>66</v>
      </c>
      <c r="Y268">
        <v>3</v>
      </c>
    </row>
    <row r="269" spans="1:25" x14ac:dyDescent="0.25">
      <c r="A269" t="s">
        <v>200</v>
      </c>
      <c r="B269">
        <v>17</v>
      </c>
      <c r="C269">
        <v>4</v>
      </c>
      <c r="D269">
        <v>12</v>
      </c>
      <c r="E269" t="s">
        <v>44</v>
      </c>
      <c r="F269" t="s">
        <v>40</v>
      </c>
      <c r="G269">
        <v>3</v>
      </c>
      <c r="H269">
        <f>stimuli_table[[#This Row],[n_colour1_left]]+stimuli_table[[#This Row],[n_colour2_left]]</f>
        <v>6</v>
      </c>
      <c r="I269" t="s">
        <v>33</v>
      </c>
      <c r="J269" t="s">
        <v>70</v>
      </c>
      <c r="K269" t="s">
        <v>29</v>
      </c>
      <c r="L269" t="s">
        <v>130</v>
      </c>
      <c r="M269" t="s">
        <v>38</v>
      </c>
      <c r="N269" s="3">
        <v>2</v>
      </c>
      <c r="O269" t="s">
        <v>103</v>
      </c>
      <c r="P269" t="s">
        <v>27</v>
      </c>
      <c r="Q269" t="s">
        <v>72</v>
      </c>
      <c r="R269">
        <v>6</v>
      </c>
      <c r="S269" t="s">
        <v>66</v>
      </c>
      <c r="T269">
        <v>0</v>
      </c>
      <c r="U269" t="s">
        <v>50</v>
      </c>
      <c r="V269" t="s">
        <v>72</v>
      </c>
      <c r="W269">
        <v>4</v>
      </c>
      <c r="X269" t="s">
        <v>66</v>
      </c>
      <c r="Y269">
        <v>3</v>
      </c>
    </row>
    <row r="270" spans="1:25" x14ac:dyDescent="0.25">
      <c r="A270" t="s">
        <v>200</v>
      </c>
      <c r="B270">
        <v>17</v>
      </c>
      <c r="C270">
        <v>1</v>
      </c>
      <c r="D270">
        <v>13</v>
      </c>
      <c r="E270" t="s">
        <v>46</v>
      </c>
      <c r="F270" t="s">
        <v>26</v>
      </c>
      <c r="G270">
        <v>3</v>
      </c>
      <c r="H270">
        <f>stimuli_table[[#This Row],[n_colour1_left]]+stimuli_table[[#This Row],[n_colour2_left]]</f>
        <v>6</v>
      </c>
      <c r="I270" t="s">
        <v>33</v>
      </c>
      <c r="J270" t="s">
        <v>70</v>
      </c>
      <c r="K270" t="s">
        <v>29</v>
      </c>
      <c r="L270" t="s">
        <v>131</v>
      </c>
      <c r="M270" t="s">
        <v>31</v>
      </c>
      <c r="N270" s="4">
        <v>4</v>
      </c>
      <c r="O270" t="s">
        <v>103</v>
      </c>
      <c r="P270" t="s">
        <v>36</v>
      </c>
      <c r="Q270" t="s">
        <v>72</v>
      </c>
      <c r="R270">
        <v>3</v>
      </c>
      <c r="S270" t="s">
        <v>66</v>
      </c>
      <c r="T270">
        <v>3</v>
      </c>
      <c r="U270" t="s">
        <v>50</v>
      </c>
      <c r="V270" t="s">
        <v>72</v>
      </c>
      <c r="W270">
        <v>4</v>
      </c>
      <c r="X270" t="s">
        <v>66</v>
      </c>
      <c r="Y270">
        <v>3</v>
      </c>
    </row>
    <row r="271" spans="1:25" x14ac:dyDescent="0.25">
      <c r="A271" t="s">
        <v>200</v>
      </c>
      <c r="B271">
        <v>17</v>
      </c>
      <c r="C271">
        <v>2</v>
      </c>
      <c r="D271">
        <v>14</v>
      </c>
      <c r="E271" t="s">
        <v>46</v>
      </c>
      <c r="F271" t="s">
        <v>37</v>
      </c>
      <c r="G271">
        <v>3</v>
      </c>
      <c r="H271">
        <f>stimuli_table[[#This Row],[n_colour1_left]]+stimuli_table[[#This Row],[n_colour2_left]]</f>
        <v>6</v>
      </c>
      <c r="I271" t="s">
        <v>33</v>
      </c>
      <c r="J271" t="s">
        <v>70</v>
      </c>
      <c r="K271" t="s">
        <v>29</v>
      </c>
      <c r="L271" t="s">
        <v>131</v>
      </c>
      <c r="M271" t="s">
        <v>38</v>
      </c>
      <c r="N271" s="4">
        <v>1</v>
      </c>
      <c r="O271" t="s">
        <v>103</v>
      </c>
      <c r="P271" t="s">
        <v>27</v>
      </c>
      <c r="Q271" t="s">
        <v>72</v>
      </c>
      <c r="R271">
        <v>0</v>
      </c>
      <c r="S271" t="s">
        <v>66</v>
      </c>
      <c r="T271">
        <v>6</v>
      </c>
      <c r="U271" t="s">
        <v>50</v>
      </c>
      <c r="V271" t="s">
        <v>72</v>
      </c>
      <c r="W271">
        <v>4</v>
      </c>
      <c r="X271" t="s">
        <v>66</v>
      </c>
      <c r="Y271">
        <v>3</v>
      </c>
    </row>
    <row r="272" spans="1:25" x14ac:dyDescent="0.25">
      <c r="A272" t="s">
        <v>200</v>
      </c>
      <c r="B272">
        <v>17</v>
      </c>
      <c r="C272">
        <v>3</v>
      </c>
      <c r="D272">
        <v>15</v>
      </c>
      <c r="E272" t="s">
        <v>46</v>
      </c>
      <c r="F272" t="s">
        <v>39</v>
      </c>
      <c r="G272">
        <v>3</v>
      </c>
      <c r="H272">
        <f>stimuli_table[[#This Row],[n_colour1_left]]+stimuli_table[[#This Row],[n_colour2_left]]</f>
        <v>6</v>
      </c>
      <c r="I272" t="s">
        <v>33</v>
      </c>
      <c r="J272" t="s">
        <v>70</v>
      </c>
      <c r="K272" t="s">
        <v>29</v>
      </c>
      <c r="L272" t="s">
        <v>131</v>
      </c>
      <c r="M272" t="s">
        <v>41</v>
      </c>
      <c r="N272" s="4">
        <v>2</v>
      </c>
      <c r="O272" t="s">
        <v>103</v>
      </c>
      <c r="P272" t="s">
        <v>27</v>
      </c>
      <c r="Q272" t="s">
        <v>72</v>
      </c>
      <c r="R272">
        <v>2</v>
      </c>
      <c r="S272" t="s">
        <v>66</v>
      </c>
      <c r="T272">
        <v>4</v>
      </c>
      <c r="U272" t="s">
        <v>50</v>
      </c>
      <c r="V272" t="s">
        <v>72</v>
      </c>
      <c r="W272">
        <v>4</v>
      </c>
      <c r="X272" t="s">
        <v>66</v>
      </c>
      <c r="Y272">
        <v>3</v>
      </c>
    </row>
    <row r="273" spans="1:25" x14ac:dyDescent="0.25">
      <c r="A273" t="s">
        <v>200</v>
      </c>
      <c r="B273">
        <v>17</v>
      </c>
      <c r="C273">
        <v>4</v>
      </c>
      <c r="D273">
        <v>16</v>
      </c>
      <c r="E273" t="s">
        <v>46</v>
      </c>
      <c r="F273" t="s">
        <v>40</v>
      </c>
      <c r="G273">
        <v>3</v>
      </c>
      <c r="H273">
        <f>stimuli_table[[#This Row],[n_colour1_left]]+stimuli_table[[#This Row],[n_colour2_left]]</f>
        <v>6</v>
      </c>
      <c r="I273" t="s">
        <v>33</v>
      </c>
      <c r="J273" t="s">
        <v>70</v>
      </c>
      <c r="K273" t="s">
        <v>29</v>
      </c>
      <c r="L273" t="s">
        <v>131</v>
      </c>
      <c r="M273" t="s">
        <v>41</v>
      </c>
      <c r="N273" s="4">
        <v>3</v>
      </c>
      <c r="O273" t="s">
        <v>103</v>
      </c>
      <c r="P273" t="s">
        <v>27</v>
      </c>
      <c r="Q273" t="s">
        <v>72</v>
      </c>
      <c r="R273">
        <v>6</v>
      </c>
      <c r="S273" t="s">
        <v>66</v>
      </c>
      <c r="T273">
        <v>0</v>
      </c>
      <c r="U273" t="s">
        <v>50</v>
      </c>
      <c r="V273" t="s">
        <v>72</v>
      </c>
      <c r="W273">
        <v>4</v>
      </c>
      <c r="X273" t="s">
        <v>66</v>
      </c>
      <c r="Y273">
        <v>3</v>
      </c>
    </row>
    <row r="274" spans="1:25" x14ac:dyDescent="0.25">
      <c r="A274" t="s">
        <v>200</v>
      </c>
      <c r="B274">
        <v>18</v>
      </c>
      <c r="C274">
        <v>1</v>
      </c>
      <c r="D274">
        <v>1</v>
      </c>
      <c r="E274" t="s">
        <v>25</v>
      </c>
      <c r="F274" t="s">
        <v>26</v>
      </c>
      <c r="G274">
        <v>4</v>
      </c>
      <c r="H274">
        <v>7</v>
      </c>
      <c r="I274" t="s">
        <v>27</v>
      </c>
      <c r="J274" t="s">
        <v>48</v>
      </c>
      <c r="K274" t="s">
        <v>29</v>
      </c>
      <c r="L274" t="s">
        <v>132</v>
      </c>
      <c r="M274" t="s">
        <v>31</v>
      </c>
      <c r="N274" s="2">
        <v>2</v>
      </c>
      <c r="O274" t="s">
        <v>103</v>
      </c>
      <c r="P274" t="s">
        <v>50</v>
      </c>
      <c r="Q274" t="s">
        <v>48</v>
      </c>
      <c r="R274">
        <v>0</v>
      </c>
      <c r="S274" t="s">
        <v>34</v>
      </c>
      <c r="T274">
        <v>7</v>
      </c>
      <c r="U274" t="s">
        <v>33</v>
      </c>
      <c r="V274" t="s">
        <v>48</v>
      </c>
      <c r="W274">
        <v>2</v>
      </c>
      <c r="X274" t="s">
        <v>34</v>
      </c>
      <c r="Y274">
        <v>5</v>
      </c>
    </row>
    <row r="275" spans="1:25" x14ac:dyDescent="0.25">
      <c r="A275" t="s">
        <v>200</v>
      </c>
      <c r="B275">
        <v>18</v>
      </c>
      <c r="C275">
        <v>2</v>
      </c>
      <c r="D275">
        <v>2</v>
      </c>
      <c r="E275" t="s">
        <v>25</v>
      </c>
      <c r="F275" t="s">
        <v>37</v>
      </c>
      <c r="G275">
        <v>4</v>
      </c>
      <c r="H275">
        <f>stimuli_table[[#This Row],[n_colour1_left]]+stimuli_table[[#This Row],[n_colour2_left]]</f>
        <v>7</v>
      </c>
      <c r="I275" t="s">
        <v>27</v>
      </c>
      <c r="J275" t="s">
        <v>48</v>
      </c>
      <c r="K275" t="s">
        <v>29</v>
      </c>
      <c r="L275" t="s">
        <v>132</v>
      </c>
      <c r="M275" t="s">
        <v>38</v>
      </c>
      <c r="N275" s="2">
        <v>3</v>
      </c>
      <c r="O275" t="s">
        <v>103</v>
      </c>
      <c r="P275" t="s">
        <v>27</v>
      </c>
      <c r="Q275" t="s">
        <v>48</v>
      </c>
      <c r="R275">
        <v>1</v>
      </c>
      <c r="S275" t="s">
        <v>34</v>
      </c>
      <c r="T275">
        <v>6</v>
      </c>
      <c r="U275" t="s">
        <v>33</v>
      </c>
      <c r="V275" t="s">
        <v>48</v>
      </c>
      <c r="W275">
        <v>2</v>
      </c>
      <c r="X275" t="s">
        <v>34</v>
      </c>
      <c r="Y275">
        <v>5</v>
      </c>
    </row>
    <row r="276" spans="1:25" x14ac:dyDescent="0.25">
      <c r="A276" t="s">
        <v>200</v>
      </c>
      <c r="B276">
        <v>18</v>
      </c>
      <c r="C276">
        <v>3</v>
      </c>
      <c r="D276">
        <v>3</v>
      </c>
      <c r="E276" t="s">
        <v>25</v>
      </c>
      <c r="F276" t="s">
        <v>39</v>
      </c>
      <c r="G276">
        <v>4</v>
      </c>
      <c r="H276">
        <f>stimuli_table[[#This Row],[n_colour1_left]]+stimuli_table[[#This Row],[n_colour2_left]]</f>
        <v>7</v>
      </c>
      <c r="I276" t="s">
        <v>27</v>
      </c>
      <c r="J276" t="s">
        <v>48</v>
      </c>
      <c r="K276" t="s">
        <v>29</v>
      </c>
      <c r="L276" t="s">
        <v>132</v>
      </c>
      <c r="M276" t="s">
        <v>38</v>
      </c>
      <c r="N276" s="2">
        <v>4</v>
      </c>
      <c r="O276" t="s">
        <v>103</v>
      </c>
      <c r="P276" t="s">
        <v>27</v>
      </c>
      <c r="Q276" t="s">
        <v>48</v>
      </c>
      <c r="R276">
        <v>7</v>
      </c>
      <c r="S276" t="s">
        <v>34</v>
      </c>
      <c r="T276">
        <v>0</v>
      </c>
      <c r="U276" t="s">
        <v>33</v>
      </c>
      <c r="V276" t="s">
        <v>48</v>
      </c>
      <c r="W276">
        <v>2</v>
      </c>
      <c r="X276" t="s">
        <v>34</v>
      </c>
      <c r="Y276">
        <v>5</v>
      </c>
    </row>
    <row r="277" spans="1:25" x14ac:dyDescent="0.25">
      <c r="A277" t="s">
        <v>200</v>
      </c>
      <c r="B277">
        <v>18</v>
      </c>
      <c r="C277">
        <v>4</v>
      </c>
      <c r="D277">
        <v>4</v>
      </c>
      <c r="E277" t="s">
        <v>25</v>
      </c>
      <c r="F277" t="s">
        <v>40</v>
      </c>
      <c r="G277">
        <v>4</v>
      </c>
      <c r="H277">
        <f>stimuli_table[[#This Row],[n_colour1_left]]+stimuli_table[[#This Row],[n_colour2_left]]</f>
        <v>7</v>
      </c>
      <c r="I277" t="s">
        <v>27</v>
      </c>
      <c r="J277" t="s">
        <v>48</v>
      </c>
      <c r="K277" t="s">
        <v>29</v>
      </c>
      <c r="L277" t="s">
        <v>132</v>
      </c>
      <c r="M277" t="s">
        <v>41</v>
      </c>
      <c r="N277" s="2">
        <v>1</v>
      </c>
      <c r="O277" t="s">
        <v>103</v>
      </c>
      <c r="P277" t="s">
        <v>27</v>
      </c>
      <c r="Q277" t="s">
        <v>48</v>
      </c>
      <c r="R277">
        <v>3</v>
      </c>
      <c r="S277" t="s">
        <v>34</v>
      </c>
      <c r="T277">
        <v>4</v>
      </c>
      <c r="U277" t="s">
        <v>33</v>
      </c>
      <c r="V277" t="s">
        <v>48</v>
      </c>
      <c r="W277">
        <v>2</v>
      </c>
      <c r="X277" t="s">
        <v>34</v>
      </c>
      <c r="Y277">
        <v>5</v>
      </c>
    </row>
    <row r="278" spans="1:25" x14ac:dyDescent="0.25">
      <c r="A278" t="s">
        <v>200</v>
      </c>
      <c r="B278">
        <v>18</v>
      </c>
      <c r="C278">
        <v>1</v>
      </c>
      <c r="D278">
        <v>5</v>
      </c>
      <c r="E278" t="s">
        <v>42</v>
      </c>
      <c r="F278" t="s">
        <v>26</v>
      </c>
      <c r="G278">
        <v>4</v>
      </c>
      <c r="H278">
        <f>stimuli_table[[#This Row],[n_colour1_left]]+stimuli_table[[#This Row],[n_colour2_left]]</f>
        <v>7</v>
      </c>
      <c r="I278" t="s">
        <v>27</v>
      </c>
      <c r="J278" t="s">
        <v>48</v>
      </c>
      <c r="K278" t="s">
        <v>29</v>
      </c>
      <c r="L278" t="s">
        <v>133</v>
      </c>
      <c r="M278" t="s">
        <v>31</v>
      </c>
      <c r="N278" s="3">
        <v>3</v>
      </c>
      <c r="O278" t="s">
        <v>103</v>
      </c>
      <c r="P278" t="s">
        <v>50</v>
      </c>
      <c r="Q278" t="s">
        <v>48</v>
      </c>
      <c r="R278">
        <v>0</v>
      </c>
      <c r="S278" t="s">
        <v>34</v>
      </c>
      <c r="T278">
        <v>7</v>
      </c>
      <c r="U278" t="s">
        <v>33</v>
      </c>
      <c r="V278" t="s">
        <v>48</v>
      </c>
      <c r="W278">
        <v>2</v>
      </c>
      <c r="X278" t="s">
        <v>34</v>
      </c>
      <c r="Y278">
        <v>5</v>
      </c>
    </row>
    <row r="279" spans="1:25" x14ac:dyDescent="0.25">
      <c r="A279" t="s">
        <v>200</v>
      </c>
      <c r="B279">
        <v>18</v>
      </c>
      <c r="C279">
        <v>2</v>
      </c>
      <c r="D279">
        <v>6</v>
      </c>
      <c r="E279" t="s">
        <v>42</v>
      </c>
      <c r="F279" t="s">
        <v>37</v>
      </c>
      <c r="G279">
        <v>4</v>
      </c>
      <c r="H279">
        <f>stimuli_table[[#This Row],[n_colour1_left]]+stimuli_table[[#This Row],[n_colour2_left]]</f>
        <v>7</v>
      </c>
      <c r="I279" t="s">
        <v>27</v>
      </c>
      <c r="J279" t="s">
        <v>48</v>
      </c>
      <c r="K279" t="s">
        <v>29</v>
      </c>
      <c r="L279" t="s">
        <v>133</v>
      </c>
      <c r="M279" t="s">
        <v>41</v>
      </c>
      <c r="N279" s="3">
        <v>4</v>
      </c>
      <c r="O279" t="s">
        <v>103</v>
      </c>
      <c r="P279" t="s">
        <v>27</v>
      </c>
      <c r="Q279" t="s">
        <v>48</v>
      </c>
      <c r="R279">
        <v>1</v>
      </c>
      <c r="S279" t="s">
        <v>34</v>
      </c>
      <c r="T279">
        <v>6</v>
      </c>
      <c r="U279" t="s">
        <v>33</v>
      </c>
      <c r="V279" t="s">
        <v>48</v>
      </c>
      <c r="W279">
        <v>2</v>
      </c>
      <c r="X279" t="s">
        <v>34</v>
      </c>
      <c r="Y279">
        <v>5</v>
      </c>
    </row>
    <row r="280" spans="1:25" x14ac:dyDescent="0.25">
      <c r="A280" t="s">
        <v>200</v>
      </c>
      <c r="B280">
        <v>18</v>
      </c>
      <c r="C280">
        <v>3</v>
      </c>
      <c r="D280">
        <v>7</v>
      </c>
      <c r="E280" t="s">
        <v>42</v>
      </c>
      <c r="F280" t="s">
        <v>39</v>
      </c>
      <c r="G280">
        <v>4</v>
      </c>
      <c r="H280">
        <f>stimuli_table[[#This Row],[n_colour1_left]]+stimuli_table[[#This Row],[n_colour2_left]]</f>
        <v>7</v>
      </c>
      <c r="I280" t="s">
        <v>27</v>
      </c>
      <c r="J280" t="s">
        <v>48</v>
      </c>
      <c r="K280" t="s">
        <v>29</v>
      </c>
      <c r="L280" t="s">
        <v>133</v>
      </c>
      <c r="M280" t="s">
        <v>41</v>
      </c>
      <c r="N280" s="3">
        <v>1</v>
      </c>
      <c r="O280" t="s">
        <v>103</v>
      </c>
      <c r="P280" t="s">
        <v>27</v>
      </c>
      <c r="Q280" t="s">
        <v>48</v>
      </c>
      <c r="R280">
        <v>7</v>
      </c>
      <c r="S280" t="s">
        <v>34</v>
      </c>
      <c r="T280">
        <v>0</v>
      </c>
      <c r="U280" t="s">
        <v>33</v>
      </c>
      <c r="V280" t="s">
        <v>48</v>
      </c>
      <c r="W280">
        <v>2</v>
      </c>
      <c r="X280" t="s">
        <v>34</v>
      </c>
      <c r="Y280">
        <v>5</v>
      </c>
    </row>
    <row r="281" spans="1:25" x14ac:dyDescent="0.25">
      <c r="A281" t="s">
        <v>200</v>
      </c>
      <c r="B281">
        <v>18</v>
      </c>
      <c r="C281">
        <v>4</v>
      </c>
      <c r="D281">
        <v>8</v>
      </c>
      <c r="E281" t="s">
        <v>42</v>
      </c>
      <c r="F281" t="s">
        <v>40</v>
      </c>
      <c r="G281">
        <v>4</v>
      </c>
      <c r="H281">
        <f>stimuli_table[[#This Row],[n_colour1_left]]+stimuli_table[[#This Row],[n_colour2_left]]</f>
        <v>7</v>
      </c>
      <c r="I281" t="s">
        <v>27</v>
      </c>
      <c r="J281" t="s">
        <v>48</v>
      </c>
      <c r="K281" t="s">
        <v>29</v>
      </c>
      <c r="L281" t="s">
        <v>133</v>
      </c>
      <c r="M281" t="s">
        <v>38</v>
      </c>
      <c r="N281" s="3">
        <v>2</v>
      </c>
      <c r="O281" t="s">
        <v>103</v>
      </c>
      <c r="P281" t="s">
        <v>27</v>
      </c>
      <c r="Q281" t="s">
        <v>48</v>
      </c>
      <c r="R281">
        <v>3</v>
      </c>
      <c r="S281" t="s">
        <v>34</v>
      </c>
      <c r="T281">
        <v>4</v>
      </c>
      <c r="U281" t="s">
        <v>33</v>
      </c>
      <c r="V281" t="s">
        <v>48</v>
      </c>
      <c r="W281">
        <v>2</v>
      </c>
      <c r="X281" t="s">
        <v>34</v>
      </c>
      <c r="Y281">
        <v>5</v>
      </c>
    </row>
    <row r="282" spans="1:25" x14ac:dyDescent="0.25">
      <c r="A282" t="s">
        <v>200</v>
      </c>
      <c r="B282">
        <v>18</v>
      </c>
      <c r="C282">
        <v>1</v>
      </c>
      <c r="D282">
        <v>9</v>
      </c>
      <c r="E282" t="s">
        <v>44</v>
      </c>
      <c r="F282" t="s">
        <v>26</v>
      </c>
      <c r="G282">
        <v>4</v>
      </c>
      <c r="H282">
        <f>stimuli_table[[#This Row],[n_colour1_left]]+stimuli_table[[#This Row],[n_colour2_left]]</f>
        <v>7</v>
      </c>
      <c r="I282" t="s">
        <v>27</v>
      </c>
      <c r="J282" t="s">
        <v>48</v>
      </c>
      <c r="K282" t="s">
        <v>29</v>
      </c>
      <c r="L282" t="s">
        <v>134</v>
      </c>
      <c r="M282" t="s">
        <v>31</v>
      </c>
      <c r="N282" s="4">
        <v>4</v>
      </c>
      <c r="O282" t="s">
        <v>103</v>
      </c>
      <c r="P282" t="s">
        <v>50</v>
      </c>
      <c r="Q282" t="s">
        <v>48</v>
      </c>
      <c r="R282">
        <v>0</v>
      </c>
      <c r="S282" t="s">
        <v>34</v>
      </c>
      <c r="T282">
        <v>7</v>
      </c>
      <c r="U282" t="s">
        <v>33</v>
      </c>
      <c r="V282" t="s">
        <v>48</v>
      </c>
      <c r="W282">
        <v>2</v>
      </c>
      <c r="X282" t="s">
        <v>34</v>
      </c>
      <c r="Y282">
        <v>5</v>
      </c>
    </row>
    <row r="283" spans="1:25" x14ac:dyDescent="0.25">
      <c r="A283" t="s">
        <v>200</v>
      </c>
      <c r="B283">
        <v>18</v>
      </c>
      <c r="C283">
        <v>2</v>
      </c>
      <c r="D283">
        <v>10</v>
      </c>
      <c r="E283" t="s">
        <v>44</v>
      </c>
      <c r="F283" t="s">
        <v>37</v>
      </c>
      <c r="G283">
        <v>4</v>
      </c>
      <c r="H283">
        <f>stimuli_table[[#This Row],[n_colour1_left]]+stimuli_table[[#This Row],[n_colour2_left]]</f>
        <v>7</v>
      </c>
      <c r="I283" t="s">
        <v>27</v>
      </c>
      <c r="J283" t="s">
        <v>48</v>
      </c>
      <c r="K283" t="s">
        <v>29</v>
      </c>
      <c r="L283" t="s">
        <v>134</v>
      </c>
      <c r="M283" t="s">
        <v>41</v>
      </c>
      <c r="N283" s="4">
        <v>1</v>
      </c>
      <c r="O283" t="s">
        <v>103</v>
      </c>
      <c r="P283" t="s">
        <v>27</v>
      </c>
      <c r="Q283" t="s">
        <v>48</v>
      </c>
      <c r="R283">
        <v>1</v>
      </c>
      <c r="S283" t="s">
        <v>34</v>
      </c>
      <c r="T283">
        <v>6</v>
      </c>
      <c r="U283" t="s">
        <v>33</v>
      </c>
      <c r="V283" t="s">
        <v>48</v>
      </c>
      <c r="W283">
        <v>2</v>
      </c>
      <c r="X283" t="s">
        <v>34</v>
      </c>
      <c r="Y283">
        <v>5</v>
      </c>
    </row>
    <row r="284" spans="1:25" x14ac:dyDescent="0.25">
      <c r="A284" t="s">
        <v>200</v>
      </c>
      <c r="B284">
        <v>18</v>
      </c>
      <c r="C284">
        <v>3</v>
      </c>
      <c r="D284">
        <v>11</v>
      </c>
      <c r="E284" t="s">
        <v>44</v>
      </c>
      <c r="F284" t="s">
        <v>39</v>
      </c>
      <c r="G284">
        <v>4</v>
      </c>
      <c r="H284">
        <f>stimuli_table[[#This Row],[n_colour1_left]]+stimuli_table[[#This Row],[n_colour2_left]]</f>
        <v>7</v>
      </c>
      <c r="I284" t="s">
        <v>27</v>
      </c>
      <c r="J284" t="s">
        <v>48</v>
      </c>
      <c r="K284" t="s">
        <v>29</v>
      </c>
      <c r="L284" t="s">
        <v>134</v>
      </c>
      <c r="M284" t="s">
        <v>41</v>
      </c>
      <c r="N284" s="4">
        <v>2</v>
      </c>
      <c r="O284" t="s">
        <v>103</v>
      </c>
      <c r="P284" t="s">
        <v>27</v>
      </c>
      <c r="Q284" t="s">
        <v>48</v>
      </c>
      <c r="R284">
        <v>7</v>
      </c>
      <c r="S284" t="s">
        <v>34</v>
      </c>
      <c r="T284">
        <v>0</v>
      </c>
      <c r="U284" t="s">
        <v>33</v>
      </c>
      <c r="V284" t="s">
        <v>48</v>
      </c>
      <c r="W284">
        <v>2</v>
      </c>
      <c r="X284" t="s">
        <v>34</v>
      </c>
      <c r="Y284">
        <v>5</v>
      </c>
    </row>
    <row r="285" spans="1:25" x14ac:dyDescent="0.25">
      <c r="A285" t="s">
        <v>200</v>
      </c>
      <c r="B285">
        <v>18</v>
      </c>
      <c r="C285">
        <v>4</v>
      </c>
      <c r="D285">
        <v>12</v>
      </c>
      <c r="E285" t="s">
        <v>44</v>
      </c>
      <c r="F285" t="s">
        <v>40</v>
      </c>
      <c r="G285">
        <v>4</v>
      </c>
      <c r="H285">
        <f>stimuli_table[[#This Row],[n_colour1_left]]+stimuli_table[[#This Row],[n_colour2_left]]</f>
        <v>7</v>
      </c>
      <c r="I285" t="s">
        <v>27</v>
      </c>
      <c r="J285" t="s">
        <v>48</v>
      </c>
      <c r="K285" t="s">
        <v>29</v>
      </c>
      <c r="L285" t="s">
        <v>134</v>
      </c>
      <c r="M285" t="s">
        <v>38</v>
      </c>
      <c r="N285" s="4">
        <v>3</v>
      </c>
      <c r="O285" t="s">
        <v>103</v>
      </c>
      <c r="P285" t="s">
        <v>27</v>
      </c>
      <c r="Q285" t="s">
        <v>48</v>
      </c>
      <c r="R285">
        <v>3</v>
      </c>
      <c r="S285" t="s">
        <v>34</v>
      </c>
      <c r="T285">
        <v>4</v>
      </c>
      <c r="U285" t="s">
        <v>33</v>
      </c>
      <c r="V285" t="s">
        <v>48</v>
      </c>
      <c r="W285">
        <v>2</v>
      </c>
      <c r="X285" t="s">
        <v>34</v>
      </c>
      <c r="Y285">
        <v>5</v>
      </c>
    </row>
    <row r="286" spans="1:25" x14ac:dyDescent="0.25">
      <c r="A286" t="s">
        <v>200</v>
      </c>
      <c r="B286">
        <v>18</v>
      </c>
      <c r="C286">
        <v>1</v>
      </c>
      <c r="D286">
        <v>13</v>
      </c>
      <c r="E286" t="s">
        <v>46</v>
      </c>
      <c r="F286" t="s">
        <v>26</v>
      </c>
      <c r="G286">
        <v>4</v>
      </c>
      <c r="H286">
        <f>stimuli_table[[#This Row],[n_colour1_left]]+stimuli_table[[#This Row],[n_colour2_left]]</f>
        <v>7</v>
      </c>
      <c r="I286" t="s">
        <v>27</v>
      </c>
      <c r="J286" t="s">
        <v>48</v>
      </c>
      <c r="K286" t="s">
        <v>29</v>
      </c>
      <c r="L286" t="s">
        <v>135</v>
      </c>
      <c r="M286" t="s">
        <v>31</v>
      </c>
      <c r="N286" s="1">
        <v>1</v>
      </c>
      <c r="O286" t="s">
        <v>103</v>
      </c>
      <c r="P286" t="s">
        <v>50</v>
      </c>
      <c r="Q286" t="s">
        <v>48</v>
      </c>
      <c r="R286">
        <v>0</v>
      </c>
      <c r="S286" t="s">
        <v>34</v>
      </c>
      <c r="T286">
        <v>7</v>
      </c>
      <c r="U286" t="s">
        <v>33</v>
      </c>
      <c r="V286" t="s">
        <v>48</v>
      </c>
      <c r="W286">
        <v>2</v>
      </c>
      <c r="X286" t="s">
        <v>34</v>
      </c>
      <c r="Y286">
        <v>5</v>
      </c>
    </row>
    <row r="287" spans="1:25" x14ac:dyDescent="0.25">
      <c r="A287" t="s">
        <v>200</v>
      </c>
      <c r="B287">
        <v>18</v>
      </c>
      <c r="C287">
        <v>2</v>
      </c>
      <c r="D287">
        <v>14</v>
      </c>
      <c r="E287" t="s">
        <v>46</v>
      </c>
      <c r="F287" t="s">
        <v>37</v>
      </c>
      <c r="G287">
        <v>4</v>
      </c>
      <c r="H287">
        <f>stimuli_table[[#This Row],[n_colour1_left]]+stimuli_table[[#This Row],[n_colour2_left]]</f>
        <v>7</v>
      </c>
      <c r="I287" t="s">
        <v>27</v>
      </c>
      <c r="J287" t="s">
        <v>48</v>
      </c>
      <c r="K287" t="s">
        <v>29</v>
      </c>
      <c r="L287" t="s">
        <v>135</v>
      </c>
      <c r="M287" t="s">
        <v>38</v>
      </c>
      <c r="N287" s="1">
        <v>2</v>
      </c>
      <c r="O287" t="s">
        <v>103</v>
      </c>
      <c r="P287" t="s">
        <v>27</v>
      </c>
      <c r="Q287" t="s">
        <v>48</v>
      </c>
      <c r="R287">
        <v>1</v>
      </c>
      <c r="S287" t="s">
        <v>34</v>
      </c>
      <c r="T287">
        <v>6</v>
      </c>
      <c r="U287" t="s">
        <v>33</v>
      </c>
      <c r="V287" t="s">
        <v>48</v>
      </c>
      <c r="W287">
        <v>2</v>
      </c>
      <c r="X287" t="s">
        <v>34</v>
      </c>
      <c r="Y287">
        <v>5</v>
      </c>
    </row>
    <row r="288" spans="1:25" x14ac:dyDescent="0.25">
      <c r="A288" t="s">
        <v>200</v>
      </c>
      <c r="B288">
        <v>18</v>
      </c>
      <c r="C288">
        <v>3</v>
      </c>
      <c r="D288">
        <v>15</v>
      </c>
      <c r="E288" t="s">
        <v>46</v>
      </c>
      <c r="F288" t="s">
        <v>39</v>
      </c>
      <c r="G288">
        <v>4</v>
      </c>
      <c r="H288">
        <f>stimuli_table[[#This Row],[n_colour1_left]]+stimuli_table[[#This Row],[n_colour2_left]]</f>
        <v>7</v>
      </c>
      <c r="I288" t="s">
        <v>27</v>
      </c>
      <c r="J288" t="s">
        <v>48</v>
      </c>
      <c r="K288" t="s">
        <v>29</v>
      </c>
      <c r="L288" t="s">
        <v>135</v>
      </c>
      <c r="M288" t="s">
        <v>41</v>
      </c>
      <c r="N288" s="1">
        <v>3</v>
      </c>
      <c r="O288" t="s">
        <v>103</v>
      </c>
      <c r="P288" t="s">
        <v>27</v>
      </c>
      <c r="Q288" t="s">
        <v>48</v>
      </c>
      <c r="R288">
        <v>7</v>
      </c>
      <c r="S288" t="s">
        <v>34</v>
      </c>
      <c r="T288">
        <v>0</v>
      </c>
      <c r="U288" t="s">
        <v>33</v>
      </c>
      <c r="V288" t="s">
        <v>48</v>
      </c>
      <c r="W288">
        <v>2</v>
      </c>
      <c r="X288" t="s">
        <v>34</v>
      </c>
      <c r="Y288">
        <v>5</v>
      </c>
    </row>
    <row r="289" spans="1:25" x14ac:dyDescent="0.25">
      <c r="A289" t="s">
        <v>200</v>
      </c>
      <c r="B289">
        <v>18</v>
      </c>
      <c r="C289">
        <v>4</v>
      </c>
      <c r="D289">
        <v>16</v>
      </c>
      <c r="E289" t="s">
        <v>46</v>
      </c>
      <c r="F289" t="s">
        <v>40</v>
      </c>
      <c r="G289">
        <v>4</v>
      </c>
      <c r="H289">
        <f>stimuli_table[[#This Row],[n_colour1_left]]+stimuli_table[[#This Row],[n_colour2_left]]</f>
        <v>7</v>
      </c>
      <c r="I289" t="s">
        <v>27</v>
      </c>
      <c r="J289" t="s">
        <v>48</v>
      </c>
      <c r="K289" t="s">
        <v>29</v>
      </c>
      <c r="L289" t="s">
        <v>135</v>
      </c>
      <c r="M289" t="s">
        <v>41</v>
      </c>
      <c r="N289" s="1">
        <v>4</v>
      </c>
      <c r="O289" t="s">
        <v>103</v>
      </c>
      <c r="P289" t="s">
        <v>27</v>
      </c>
      <c r="Q289" t="s">
        <v>48</v>
      </c>
      <c r="R289">
        <v>3</v>
      </c>
      <c r="S289" t="s">
        <v>34</v>
      </c>
      <c r="T289">
        <v>4</v>
      </c>
      <c r="U289" t="s">
        <v>33</v>
      </c>
      <c r="V289" t="s">
        <v>48</v>
      </c>
      <c r="W289">
        <v>2</v>
      </c>
      <c r="X289" t="s">
        <v>34</v>
      </c>
      <c r="Y289">
        <v>5</v>
      </c>
    </row>
    <row r="290" spans="1:25" x14ac:dyDescent="0.25">
      <c r="A290" t="s">
        <v>200</v>
      </c>
      <c r="B290">
        <v>19</v>
      </c>
      <c r="C290">
        <v>1</v>
      </c>
      <c r="D290">
        <v>1</v>
      </c>
      <c r="E290" t="s">
        <v>25</v>
      </c>
      <c r="F290" t="s">
        <v>26</v>
      </c>
      <c r="G290">
        <v>4</v>
      </c>
      <c r="H290">
        <f>stimuli_table[[#This Row],[n_colour1_left]]+stimuli_table[[#This Row],[n_colour2_left]]</f>
        <v>6</v>
      </c>
      <c r="I290" t="s">
        <v>52</v>
      </c>
      <c r="J290" t="s">
        <v>101</v>
      </c>
      <c r="K290" t="s">
        <v>29</v>
      </c>
      <c r="L290" t="s">
        <v>136</v>
      </c>
      <c r="M290" t="s">
        <v>31</v>
      </c>
      <c r="N290" s="3">
        <v>3</v>
      </c>
      <c r="O290" t="s">
        <v>103</v>
      </c>
      <c r="P290" t="s">
        <v>33</v>
      </c>
      <c r="Q290" t="s">
        <v>59</v>
      </c>
      <c r="R290">
        <v>3</v>
      </c>
      <c r="S290" t="s">
        <v>51</v>
      </c>
      <c r="T290">
        <v>3</v>
      </c>
      <c r="U290" t="s">
        <v>27</v>
      </c>
      <c r="V290" t="s">
        <v>59</v>
      </c>
      <c r="W290">
        <v>3</v>
      </c>
      <c r="X290" t="s">
        <v>51</v>
      </c>
      <c r="Y290">
        <v>2</v>
      </c>
    </row>
    <row r="291" spans="1:25" x14ac:dyDescent="0.25">
      <c r="A291" t="s">
        <v>200</v>
      </c>
      <c r="B291">
        <v>19</v>
      </c>
      <c r="C291">
        <v>2</v>
      </c>
      <c r="D291">
        <v>2</v>
      </c>
      <c r="E291" t="s">
        <v>25</v>
      </c>
      <c r="F291" t="s">
        <v>37</v>
      </c>
      <c r="G291">
        <v>4</v>
      </c>
      <c r="H291">
        <f>stimuli_table[[#This Row],[n_colour1_left]]+stimuli_table[[#This Row],[n_colour2_left]]</f>
        <v>6</v>
      </c>
      <c r="I291" t="s">
        <v>52</v>
      </c>
      <c r="J291" t="s">
        <v>101</v>
      </c>
      <c r="K291" t="s">
        <v>29</v>
      </c>
      <c r="L291" t="s">
        <v>136</v>
      </c>
      <c r="M291" t="s">
        <v>38</v>
      </c>
      <c r="N291" s="3">
        <v>4</v>
      </c>
      <c r="O291" t="s">
        <v>103</v>
      </c>
      <c r="P291" t="s">
        <v>52</v>
      </c>
      <c r="Q291" t="s">
        <v>59</v>
      </c>
      <c r="R291">
        <v>0</v>
      </c>
      <c r="S291" t="s">
        <v>51</v>
      </c>
      <c r="T291">
        <v>6</v>
      </c>
      <c r="U291" t="s">
        <v>27</v>
      </c>
      <c r="V291" t="s">
        <v>59</v>
      </c>
      <c r="W291">
        <v>3</v>
      </c>
      <c r="X291" t="s">
        <v>51</v>
      </c>
      <c r="Y291">
        <v>2</v>
      </c>
    </row>
    <row r="292" spans="1:25" x14ac:dyDescent="0.25">
      <c r="A292" t="s">
        <v>200</v>
      </c>
      <c r="B292">
        <v>19</v>
      </c>
      <c r="C292">
        <v>3</v>
      </c>
      <c r="D292">
        <v>3</v>
      </c>
      <c r="E292" t="s">
        <v>25</v>
      </c>
      <c r="F292" t="s">
        <v>39</v>
      </c>
      <c r="G292">
        <v>4</v>
      </c>
      <c r="H292">
        <f>stimuli_table[[#This Row],[n_colour1_left]]+stimuli_table[[#This Row],[n_colour2_left]]</f>
        <v>6</v>
      </c>
      <c r="I292" t="s">
        <v>52</v>
      </c>
      <c r="J292" t="s">
        <v>101</v>
      </c>
      <c r="K292" t="s">
        <v>29</v>
      </c>
      <c r="L292" t="s">
        <v>136</v>
      </c>
      <c r="M292" t="s">
        <v>38</v>
      </c>
      <c r="N292" s="3">
        <v>1</v>
      </c>
      <c r="O292" t="s">
        <v>103</v>
      </c>
      <c r="P292" t="s">
        <v>52</v>
      </c>
      <c r="Q292" t="s">
        <v>59</v>
      </c>
      <c r="R292">
        <v>2</v>
      </c>
      <c r="S292" t="s">
        <v>51</v>
      </c>
      <c r="T292">
        <v>4</v>
      </c>
      <c r="U292" t="s">
        <v>27</v>
      </c>
      <c r="V292" t="s">
        <v>59</v>
      </c>
      <c r="W292">
        <v>3</v>
      </c>
      <c r="X292" t="s">
        <v>51</v>
      </c>
      <c r="Y292">
        <v>2</v>
      </c>
    </row>
    <row r="293" spans="1:25" x14ac:dyDescent="0.25">
      <c r="A293" t="s">
        <v>200</v>
      </c>
      <c r="B293">
        <v>19</v>
      </c>
      <c r="C293">
        <v>4</v>
      </c>
      <c r="D293">
        <v>4</v>
      </c>
      <c r="E293" t="s">
        <v>25</v>
      </c>
      <c r="F293" t="s">
        <v>40</v>
      </c>
      <c r="G293">
        <v>4</v>
      </c>
      <c r="H293">
        <f>stimuli_table[[#This Row],[n_colour1_left]]+stimuli_table[[#This Row],[n_colour2_left]]</f>
        <v>6</v>
      </c>
      <c r="I293" t="s">
        <v>52</v>
      </c>
      <c r="J293" t="s">
        <v>101</v>
      </c>
      <c r="K293" t="s">
        <v>29</v>
      </c>
      <c r="L293" t="s">
        <v>136</v>
      </c>
      <c r="M293" t="s">
        <v>41</v>
      </c>
      <c r="N293" s="3">
        <v>2</v>
      </c>
      <c r="O293" t="s">
        <v>103</v>
      </c>
      <c r="P293" t="s">
        <v>52</v>
      </c>
      <c r="Q293" t="s">
        <v>59</v>
      </c>
      <c r="R293">
        <v>6</v>
      </c>
      <c r="S293" t="s">
        <v>51</v>
      </c>
      <c r="T293">
        <v>0</v>
      </c>
      <c r="U293" t="s">
        <v>27</v>
      </c>
      <c r="V293" t="s">
        <v>59</v>
      </c>
      <c r="W293">
        <v>3</v>
      </c>
      <c r="X293" t="s">
        <v>51</v>
      </c>
      <c r="Y293">
        <v>2</v>
      </c>
    </row>
    <row r="294" spans="1:25" x14ac:dyDescent="0.25">
      <c r="A294" t="s">
        <v>200</v>
      </c>
      <c r="B294">
        <v>19</v>
      </c>
      <c r="C294">
        <v>1</v>
      </c>
      <c r="D294">
        <v>5</v>
      </c>
      <c r="E294" t="s">
        <v>42</v>
      </c>
      <c r="F294" t="s">
        <v>26</v>
      </c>
      <c r="G294">
        <v>4</v>
      </c>
      <c r="H294">
        <f>stimuli_table[[#This Row],[n_colour1_left]]+stimuli_table[[#This Row],[n_colour2_left]]</f>
        <v>6</v>
      </c>
      <c r="I294" t="s">
        <v>52</v>
      </c>
      <c r="J294" t="s">
        <v>101</v>
      </c>
      <c r="K294" t="s">
        <v>29</v>
      </c>
      <c r="L294" t="s">
        <v>137</v>
      </c>
      <c r="M294" t="s">
        <v>31</v>
      </c>
      <c r="N294" s="4">
        <v>4</v>
      </c>
      <c r="O294" t="s">
        <v>103</v>
      </c>
      <c r="P294" t="s">
        <v>33</v>
      </c>
      <c r="Q294" t="s">
        <v>59</v>
      </c>
      <c r="R294">
        <v>3</v>
      </c>
      <c r="S294" t="s">
        <v>51</v>
      </c>
      <c r="T294">
        <v>3</v>
      </c>
      <c r="U294" t="s">
        <v>27</v>
      </c>
      <c r="V294" t="s">
        <v>59</v>
      </c>
      <c r="W294">
        <v>3</v>
      </c>
      <c r="X294" t="s">
        <v>51</v>
      </c>
      <c r="Y294">
        <v>2</v>
      </c>
    </row>
    <row r="295" spans="1:25" x14ac:dyDescent="0.25">
      <c r="A295" t="s">
        <v>200</v>
      </c>
      <c r="B295">
        <v>19</v>
      </c>
      <c r="C295">
        <v>2</v>
      </c>
      <c r="D295">
        <v>6</v>
      </c>
      <c r="E295" t="s">
        <v>42</v>
      </c>
      <c r="F295" t="s">
        <v>37</v>
      </c>
      <c r="G295">
        <v>4</v>
      </c>
      <c r="H295">
        <f>stimuli_table[[#This Row],[n_colour1_left]]+stimuli_table[[#This Row],[n_colour2_left]]</f>
        <v>6</v>
      </c>
      <c r="I295" t="s">
        <v>52</v>
      </c>
      <c r="J295" t="s">
        <v>101</v>
      </c>
      <c r="K295" t="s">
        <v>29</v>
      </c>
      <c r="L295" t="s">
        <v>137</v>
      </c>
      <c r="M295" t="s">
        <v>41</v>
      </c>
      <c r="N295" s="4">
        <v>1</v>
      </c>
      <c r="O295" t="s">
        <v>103</v>
      </c>
      <c r="P295" t="s">
        <v>52</v>
      </c>
      <c r="Q295" t="s">
        <v>59</v>
      </c>
      <c r="R295">
        <v>0</v>
      </c>
      <c r="S295" t="s">
        <v>51</v>
      </c>
      <c r="T295">
        <v>6</v>
      </c>
      <c r="U295" t="s">
        <v>27</v>
      </c>
      <c r="V295" t="s">
        <v>59</v>
      </c>
      <c r="W295">
        <v>3</v>
      </c>
      <c r="X295" t="s">
        <v>51</v>
      </c>
      <c r="Y295">
        <v>2</v>
      </c>
    </row>
    <row r="296" spans="1:25" x14ac:dyDescent="0.25">
      <c r="A296" t="s">
        <v>200</v>
      </c>
      <c r="B296">
        <v>19</v>
      </c>
      <c r="C296">
        <v>3</v>
      </c>
      <c r="D296">
        <v>7</v>
      </c>
      <c r="E296" t="s">
        <v>42</v>
      </c>
      <c r="F296" t="s">
        <v>39</v>
      </c>
      <c r="G296">
        <v>4</v>
      </c>
      <c r="H296">
        <f>stimuli_table[[#This Row],[n_colour1_left]]+stimuli_table[[#This Row],[n_colour2_left]]</f>
        <v>6</v>
      </c>
      <c r="I296" t="s">
        <v>52</v>
      </c>
      <c r="J296" t="s">
        <v>101</v>
      </c>
      <c r="K296" t="s">
        <v>29</v>
      </c>
      <c r="L296" t="s">
        <v>137</v>
      </c>
      <c r="M296" t="s">
        <v>41</v>
      </c>
      <c r="N296" s="4">
        <v>2</v>
      </c>
      <c r="O296" t="s">
        <v>103</v>
      </c>
      <c r="P296" t="s">
        <v>52</v>
      </c>
      <c r="Q296" t="s">
        <v>59</v>
      </c>
      <c r="R296">
        <v>2</v>
      </c>
      <c r="S296" t="s">
        <v>51</v>
      </c>
      <c r="T296">
        <v>4</v>
      </c>
      <c r="U296" t="s">
        <v>27</v>
      </c>
      <c r="V296" t="s">
        <v>59</v>
      </c>
      <c r="W296">
        <v>3</v>
      </c>
      <c r="X296" t="s">
        <v>51</v>
      </c>
      <c r="Y296">
        <v>2</v>
      </c>
    </row>
    <row r="297" spans="1:25" x14ac:dyDescent="0.25">
      <c r="A297" t="s">
        <v>200</v>
      </c>
      <c r="B297">
        <v>19</v>
      </c>
      <c r="C297">
        <v>4</v>
      </c>
      <c r="D297">
        <v>8</v>
      </c>
      <c r="E297" t="s">
        <v>42</v>
      </c>
      <c r="F297" t="s">
        <v>40</v>
      </c>
      <c r="G297">
        <v>4</v>
      </c>
      <c r="H297">
        <f>stimuli_table[[#This Row],[n_colour1_left]]+stimuli_table[[#This Row],[n_colour2_left]]</f>
        <v>6</v>
      </c>
      <c r="I297" t="s">
        <v>52</v>
      </c>
      <c r="J297" t="s">
        <v>101</v>
      </c>
      <c r="K297" t="s">
        <v>29</v>
      </c>
      <c r="L297" t="s">
        <v>137</v>
      </c>
      <c r="M297" t="s">
        <v>38</v>
      </c>
      <c r="N297" s="4">
        <v>3</v>
      </c>
      <c r="O297" t="s">
        <v>103</v>
      </c>
      <c r="P297" t="s">
        <v>52</v>
      </c>
      <c r="Q297" t="s">
        <v>59</v>
      </c>
      <c r="R297">
        <v>6</v>
      </c>
      <c r="S297" t="s">
        <v>51</v>
      </c>
      <c r="T297">
        <v>0</v>
      </c>
      <c r="U297" t="s">
        <v>27</v>
      </c>
      <c r="V297" t="s">
        <v>59</v>
      </c>
      <c r="W297">
        <v>3</v>
      </c>
      <c r="X297" t="s">
        <v>51</v>
      </c>
      <c r="Y297">
        <v>2</v>
      </c>
    </row>
    <row r="298" spans="1:25" x14ac:dyDescent="0.25">
      <c r="A298" t="s">
        <v>200</v>
      </c>
      <c r="B298">
        <v>19</v>
      </c>
      <c r="C298">
        <v>1</v>
      </c>
      <c r="D298">
        <v>9</v>
      </c>
      <c r="E298" t="s">
        <v>44</v>
      </c>
      <c r="F298" t="s">
        <v>26</v>
      </c>
      <c r="G298">
        <v>4</v>
      </c>
      <c r="H298">
        <f>stimuli_table[[#This Row],[n_colour1_left]]+stimuli_table[[#This Row],[n_colour2_left]]</f>
        <v>6</v>
      </c>
      <c r="I298" t="s">
        <v>52</v>
      </c>
      <c r="J298" t="s">
        <v>101</v>
      </c>
      <c r="K298" t="s">
        <v>29</v>
      </c>
      <c r="L298" t="s">
        <v>138</v>
      </c>
      <c r="M298" t="s">
        <v>31</v>
      </c>
      <c r="N298" s="1">
        <v>1</v>
      </c>
      <c r="O298" t="s">
        <v>103</v>
      </c>
      <c r="P298" t="s">
        <v>33</v>
      </c>
      <c r="Q298" t="s">
        <v>59</v>
      </c>
      <c r="R298">
        <v>3</v>
      </c>
      <c r="S298" t="s">
        <v>51</v>
      </c>
      <c r="T298">
        <v>3</v>
      </c>
      <c r="U298" t="s">
        <v>27</v>
      </c>
      <c r="V298" t="s">
        <v>59</v>
      </c>
      <c r="W298">
        <v>3</v>
      </c>
      <c r="X298" t="s">
        <v>51</v>
      </c>
      <c r="Y298">
        <v>2</v>
      </c>
    </row>
    <row r="299" spans="1:25" x14ac:dyDescent="0.25">
      <c r="A299" t="s">
        <v>200</v>
      </c>
      <c r="B299">
        <v>19</v>
      </c>
      <c r="C299">
        <v>2</v>
      </c>
      <c r="D299">
        <v>10</v>
      </c>
      <c r="E299" t="s">
        <v>44</v>
      </c>
      <c r="F299" t="s">
        <v>37</v>
      </c>
      <c r="G299">
        <v>4</v>
      </c>
      <c r="H299">
        <f>stimuli_table[[#This Row],[n_colour1_left]]+stimuli_table[[#This Row],[n_colour2_left]]</f>
        <v>6</v>
      </c>
      <c r="I299" t="s">
        <v>52</v>
      </c>
      <c r="J299" t="s">
        <v>101</v>
      </c>
      <c r="K299" t="s">
        <v>29</v>
      </c>
      <c r="L299" t="s">
        <v>138</v>
      </c>
      <c r="M299" t="s">
        <v>41</v>
      </c>
      <c r="N299" s="1">
        <v>2</v>
      </c>
      <c r="O299" t="s">
        <v>103</v>
      </c>
      <c r="P299" t="s">
        <v>52</v>
      </c>
      <c r="Q299" t="s">
        <v>59</v>
      </c>
      <c r="R299">
        <v>0</v>
      </c>
      <c r="S299" t="s">
        <v>51</v>
      </c>
      <c r="T299">
        <v>6</v>
      </c>
      <c r="U299" t="s">
        <v>27</v>
      </c>
      <c r="V299" t="s">
        <v>59</v>
      </c>
      <c r="W299">
        <v>3</v>
      </c>
      <c r="X299" t="s">
        <v>51</v>
      </c>
      <c r="Y299">
        <v>2</v>
      </c>
    </row>
    <row r="300" spans="1:25" x14ac:dyDescent="0.25">
      <c r="A300" t="s">
        <v>200</v>
      </c>
      <c r="B300">
        <v>19</v>
      </c>
      <c r="C300">
        <v>3</v>
      </c>
      <c r="D300">
        <v>11</v>
      </c>
      <c r="E300" t="s">
        <v>44</v>
      </c>
      <c r="F300" t="s">
        <v>39</v>
      </c>
      <c r="G300">
        <v>4</v>
      </c>
      <c r="H300">
        <f>stimuli_table[[#This Row],[n_colour1_left]]+stimuli_table[[#This Row],[n_colour2_left]]</f>
        <v>6</v>
      </c>
      <c r="I300" t="s">
        <v>52</v>
      </c>
      <c r="J300" t="s">
        <v>101</v>
      </c>
      <c r="K300" t="s">
        <v>29</v>
      </c>
      <c r="L300" t="s">
        <v>138</v>
      </c>
      <c r="M300" t="s">
        <v>41</v>
      </c>
      <c r="N300" s="1">
        <v>3</v>
      </c>
      <c r="O300" t="s">
        <v>103</v>
      </c>
      <c r="P300" t="s">
        <v>52</v>
      </c>
      <c r="Q300" t="s">
        <v>59</v>
      </c>
      <c r="R300">
        <v>2</v>
      </c>
      <c r="S300" t="s">
        <v>51</v>
      </c>
      <c r="T300">
        <v>4</v>
      </c>
      <c r="U300" t="s">
        <v>27</v>
      </c>
      <c r="V300" t="s">
        <v>59</v>
      </c>
      <c r="W300">
        <v>3</v>
      </c>
      <c r="X300" t="s">
        <v>51</v>
      </c>
      <c r="Y300">
        <v>2</v>
      </c>
    </row>
    <row r="301" spans="1:25" x14ac:dyDescent="0.25">
      <c r="A301" t="s">
        <v>200</v>
      </c>
      <c r="B301">
        <v>19</v>
      </c>
      <c r="C301">
        <v>4</v>
      </c>
      <c r="D301">
        <v>12</v>
      </c>
      <c r="E301" t="s">
        <v>44</v>
      </c>
      <c r="F301" t="s">
        <v>40</v>
      </c>
      <c r="G301">
        <v>4</v>
      </c>
      <c r="H301">
        <f>stimuli_table[[#This Row],[n_colour1_left]]+stimuli_table[[#This Row],[n_colour2_left]]</f>
        <v>6</v>
      </c>
      <c r="I301" t="s">
        <v>52</v>
      </c>
      <c r="J301" t="s">
        <v>101</v>
      </c>
      <c r="K301" t="s">
        <v>29</v>
      </c>
      <c r="L301" t="s">
        <v>138</v>
      </c>
      <c r="M301" t="s">
        <v>38</v>
      </c>
      <c r="N301" s="1">
        <v>4</v>
      </c>
      <c r="O301" t="s">
        <v>103</v>
      </c>
      <c r="P301" t="s">
        <v>52</v>
      </c>
      <c r="Q301" t="s">
        <v>59</v>
      </c>
      <c r="R301">
        <v>6</v>
      </c>
      <c r="S301" t="s">
        <v>51</v>
      </c>
      <c r="T301">
        <v>0</v>
      </c>
      <c r="U301" t="s">
        <v>27</v>
      </c>
      <c r="V301" t="s">
        <v>59</v>
      </c>
      <c r="W301">
        <v>3</v>
      </c>
      <c r="X301" t="s">
        <v>51</v>
      </c>
      <c r="Y301">
        <v>2</v>
      </c>
    </row>
    <row r="302" spans="1:25" x14ac:dyDescent="0.25">
      <c r="A302" t="s">
        <v>200</v>
      </c>
      <c r="B302">
        <v>19</v>
      </c>
      <c r="C302">
        <v>1</v>
      </c>
      <c r="D302">
        <v>13</v>
      </c>
      <c r="E302" t="s">
        <v>46</v>
      </c>
      <c r="F302" t="s">
        <v>26</v>
      </c>
      <c r="G302">
        <v>4</v>
      </c>
      <c r="H302">
        <f>stimuli_table[[#This Row],[n_colour1_left]]+stimuli_table[[#This Row],[n_colour2_left]]</f>
        <v>6</v>
      </c>
      <c r="I302" t="s">
        <v>52</v>
      </c>
      <c r="J302" t="s">
        <v>101</v>
      </c>
      <c r="K302" t="s">
        <v>29</v>
      </c>
      <c r="L302" t="s">
        <v>139</v>
      </c>
      <c r="M302" t="s">
        <v>31</v>
      </c>
      <c r="N302" s="2">
        <v>2</v>
      </c>
      <c r="O302" t="s">
        <v>103</v>
      </c>
      <c r="P302" t="s">
        <v>33</v>
      </c>
      <c r="Q302" t="s">
        <v>59</v>
      </c>
      <c r="R302">
        <v>3</v>
      </c>
      <c r="S302" t="s">
        <v>51</v>
      </c>
      <c r="T302">
        <v>3</v>
      </c>
      <c r="U302" t="s">
        <v>27</v>
      </c>
      <c r="V302" t="s">
        <v>59</v>
      </c>
      <c r="W302">
        <v>3</v>
      </c>
      <c r="X302" t="s">
        <v>51</v>
      </c>
      <c r="Y302">
        <v>2</v>
      </c>
    </row>
    <row r="303" spans="1:25" x14ac:dyDescent="0.25">
      <c r="A303" t="s">
        <v>200</v>
      </c>
      <c r="B303">
        <v>19</v>
      </c>
      <c r="C303">
        <v>2</v>
      </c>
      <c r="D303">
        <v>14</v>
      </c>
      <c r="E303" t="s">
        <v>46</v>
      </c>
      <c r="F303" t="s">
        <v>37</v>
      </c>
      <c r="G303">
        <v>4</v>
      </c>
      <c r="H303">
        <f>stimuli_table[[#This Row],[n_colour1_left]]+stimuli_table[[#This Row],[n_colour2_left]]</f>
        <v>6</v>
      </c>
      <c r="I303" t="s">
        <v>52</v>
      </c>
      <c r="J303" t="s">
        <v>101</v>
      </c>
      <c r="K303" t="s">
        <v>29</v>
      </c>
      <c r="L303" t="s">
        <v>139</v>
      </c>
      <c r="M303" t="s">
        <v>38</v>
      </c>
      <c r="N303" s="2">
        <v>3</v>
      </c>
      <c r="O303" t="s">
        <v>103</v>
      </c>
      <c r="P303" t="s">
        <v>52</v>
      </c>
      <c r="Q303" t="s">
        <v>59</v>
      </c>
      <c r="R303">
        <v>0</v>
      </c>
      <c r="S303" t="s">
        <v>51</v>
      </c>
      <c r="T303">
        <v>6</v>
      </c>
      <c r="U303" t="s">
        <v>27</v>
      </c>
      <c r="V303" t="s">
        <v>59</v>
      </c>
      <c r="W303">
        <v>3</v>
      </c>
      <c r="X303" t="s">
        <v>51</v>
      </c>
      <c r="Y303">
        <v>2</v>
      </c>
    </row>
    <row r="304" spans="1:25" x14ac:dyDescent="0.25">
      <c r="A304" t="s">
        <v>200</v>
      </c>
      <c r="B304">
        <v>19</v>
      </c>
      <c r="C304">
        <v>3</v>
      </c>
      <c r="D304">
        <v>15</v>
      </c>
      <c r="E304" t="s">
        <v>46</v>
      </c>
      <c r="F304" t="s">
        <v>39</v>
      </c>
      <c r="G304">
        <v>4</v>
      </c>
      <c r="H304">
        <f>stimuli_table[[#This Row],[n_colour1_left]]+stimuli_table[[#This Row],[n_colour2_left]]</f>
        <v>6</v>
      </c>
      <c r="I304" t="s">
        <v>52</v>
      </c>
      <c r="J304" t="s">
        <v>101</v>
      </c>
      <c r="K304" t="s">
        <v>29</v>
      </c>
      <c r="L304" t="s">
        <v>139</v>
      </c>
      <c r="M304" t="s">
        <v>41</v>
      </c>
      <c r="N304" s="2">
        <v>4</v>
      </c>
      <c r="O304" t="s">
        <v>103</v>
      </c>
      <c r="P304" t="s">
        <v>52</v>
      </c>
      <c r="Q304" t="s">
        <v>59</v>
      </c>
      <c r="R304">
        <v>2</v>
      </c>
      <c r="S304" t="s">
        <v>51</v>
      </c>
      <c r="T304">
        <v>4</v>
      </c>
      <c r="U304" t="s">
        <v>27</v>
      </c>
      <c r="V304" t="s">
        <v>59</v>
      </c>
      <c r="W304">
        <v>3</v>
      </c>
      <c r="X304" t="s">
        <v>51</v>
      </c>
      <c r="Y304">
        <v>2</v>
      </c>
    </row>
    <row r="305" spans="1:25" x14ac:dyDescent="0.25">
      <c r="A305" t="s">
        <v>200</v>
      </c>
      <c r="B305">
        <v>19</v>
      </c>
      <c r="C305">
        <v>4</v>
      </c>
      <c r="D305">
        <v>16</v>
      </c>
      <c r="E305" t="s">
        <v>46</v>
      </c>
      <c r="F305" t="s">
        <v>40</v>
      </c>
      <c r="G305">
        <v>4</v>
      </c>
      <c r="H305">
        <f>stimuli_table[[#This Row],[n_colour1_left]]+stimuli_table[[#This Row],[n_colour2_left]]</f>
        <v>6</v>
      </c>
      <c r="I305" t="s">
        <v>52</v>
      </c>
      <c r="J305" t="s">
        <v>101</v>
      </c>
      <c r="K305" t="s">
        <v>29</v>
      </c>
      <c r="L305" t="s">
        <v>139</v>
      </c>
      <c r="M305" t="s">
        <v>41</v>
      </c>
      <c r="N305" s="2">
        <v>1</v>
      </c>
      <c r="O305" t="s">
        <v>103</v>
      </c>
      <c r="P305" t="s">
        <v>52</v>
      </c>
      <c r="Q305" t="s">
        <v>59</v>
      </c>
      <c r="R305">
        <v>6</v>
      </c>
      <c r="S305" t="s">
        <v>51</v>
      </c>
      <c r="T305">
        <v>0</v>
      </c>
      <c r="U305" t="s">
        <v>27</v>
      </c>
      <c r="V305" t="s">
        <v>59</v>
      </c>
      <c r="W305">
        <v>3</v>
      </c>
      <c r="X305" t="s">
        <v>51</v>
      </c>
      <c r="Y305">
        <v>2</v>
      </c>
    </row>
    <row r="306" spans="1:25" x14ac:dyDescent="0.25">
      <c r="A306" t="s">
        <v>200</v>
      </c>
      <c r="B306">
        <v>20</v>
      </c>
      <c r="C306">
        <v>1</v>
      </c>
      <c r="D306">
        <v>1</v>
      </c>
      <c r="E306" t="s">
        <v>25</v>
      </c>
      <c r="F306" t="s">
        <v>26</v>
      </c>
      <c r="G306">
        <v>3</v>
      </c>
      <c r="H306">
        <f>stimuli_table[[#This Row],[n_colour1_left]]+stimuli_table[[#This Row],[n_colour2_left]]</f>
        <v>5</v>
      </c>
      <c r="I306" t="s">
        <v>50</v>
      </c>
      <c r="J306" t="s">
        <v>51</v>
      </c>
      <c r="K306" t="s">
        <v>29</v>
      </c>
      <c r="L306" t="s">
        <v>140</v>
      </c>
      <c r="M306" t="s">
        <v>31</v>
      </c>
      <c r="N306" s="4">
        <v>4</v>
      </c>
      <c r="O306" t="s">
        <v>103</v>
      </c>
      <c r="P306" t="s">
        <v>52</v>
      </c>
      <c r="Q306" t="s">
        <v>51</v>
      </c>
      <c r="R306">
        <v>3</v>
      </c>
      <c r="S306" t="s">
        <v>58</v>
      </c>
      <c r="T306">
        <v>2</v>
      </c>
      <c r="U306" t="s">
        <v>36</v>
      </c>
      <c r="V306" t="s">
        <v>51</v>
      </c>
      <c r="W306">
        <v>3</v>
      </c>
      <c r="X306" t="s">
        <v>58</v>
      </c>
      <c r="Y306">
        <v>3</v>
      </c>
    </row>
    <row r="307" spans="1:25" x14ac:dyDescent="0.25">
      <c r="A307" t="s">
        <v>200</v>
      </c>
      <c r="B307">
        <v>20</v>
      </c>
      <c r="C307">
        <v>2</v>
      </c>
      <c r="D307">
        <v>2</v>
      </c>
      <c r="E307" t="s">
        <v>25</v>
      </c>
      <c r="F307" t="s">
        <v>37</v>
      </c>
      <c r="G307">
        <v>3</v>
      </c>
      <c r="H307">
        <f>stimuli_table[[#This Row],[n_colour1_left]]+stimuli_table[[#This Row],[n_colour2_left]]</f>
        <v>5</v>
      </c>
      <c r="I307" t="s">
        <v>50</v>
      </c>
      <c r="J307" t="s">
        <v>51</v>
      </c>
      <c r="K307" t="s">
        <v>29</v>
      </c>
      <c r="L307" t="s">
        <v>140</v>
      </c>
      <c r="M307" t="s">
        <v>38</v>
      </c>
      <c r="N307" s="4">
        <v>1</v>
      </c>
      <c r="O307" t="s">
        <v>103</v>
      </c>
      <c r="P307" t="s">
        <v>50</v>
      </c>
      <c r="Q307" t="s">
        <v>51</v>
      </c>
      <c r="R307">
        <v>0</v>
      </c>
      <c r="S307" t="s">
        <v>58</v>
      </c>
      <c r="T307">
        <v>5</v>
      </c>
      <c r="U307" t="s">
        <v>36</v>
      </c>
      <c r="V307" t="s">
        <v>51</v>
      </c>
      <c r="W307">
        <v>3</v>
      </c>
      <c r="X307" t="s">
        <v>58</v>
      </c>
      <c r="Y307">
        <v>3</v>
      </c>
    </row>
    <row r="308" spans="1:25" x14ac:dyDescent="0.25">
      <c r="A308" t="s">
        <v>200</v>
      </c>
      <c r="B308">
        <v>20</v>
      </c>
      <c r="C308">
        <v>3</v>
      </c>
      <c r="D308">
        <v>3</v>
      </c>
      <c r="E308" t="s">
        <v>25</v>
      </c>
      <c r="F308" t="s">
        <v>39</v>
      </c>
      <c r="G308">
        <v>3</v>
      </c>
      <c r="H308">
        <f>stimuli_table[[#This Row],[n_colour1_left]]+stimuli_table[[#This Row],[n_colour2_left]]</f>
        <v>5</v>
      </c>
      <c r="I308" t="s">
        <v>50</v>
      </c>
      <c r="J308" t="s">
        <v>51</v>
      </c>
      <c r="K308" t="s">
        <v>29</v>
      </c>
      <c r="L308" t="s">
        <v>140</v>
      </c>
      <c r="M308" t="s">
        <v>38</v>
      </c>
      <c r="N308" s="4">
        <v>2</v>
      </c>
      <c r="O308" t="s">
        <v>103</v>
      </c>
      <c r="P308" t="s">
        <v>50</v>
      </c>
      <c r="Q308" t="s">
        <v>51</v>
      </c>
      <c r="R308">
        <v>2</v>
      </c>
      <c r="S308" t="s">
        <v>58</v>
      </c>
      <c r="T308">
        <v>3</v>
      </c>
      <c r="U308" t="s">
        <v>36</v>
      </c>
      <c r="V308" t="s">
        <v>51</v>
      </c>
      <c r="W308">
        <v>3</v>
      </c>
      <c r="X308" t="s">
        <v>58</v>
      </c>
      <c r="Y308">
        <v>3</v>
      </c>
    </row>
    <row r="309" spans="1:25" x14ac:dyDescent="0.25">
      <c r="A309" t="s">
        <v>200</v>
      </c>
      <c r="B309">
        <v>20</v>
      </c>
      <c r="C309">
        <v>4</v>
      </c>
      <c r="D309">
        <v>4</v>
      </c>
      <c r="E309" t="s">
        <v>25</v>
      </c>
      <c r="F309" t="s">
        <v>40</v>
      </c>
      <c r="G309">
        <v>3</v>
      </c>
      <c r="H309">
        <f>stimuli_table[[#This Row],[n_colour1_left]]+stimuli_table[[#This Row],[n_colour2_left]]</f>
        <v>5</v>
      </c>
      <c r="I309" t="s">
        <v>50</v>
      </c>
      <c r="J309" t="s">
        <v>51</v>
      </c>
      <c r="K309" t="s">
        <v>29</v>
      </c>
      <c r="L309" t="s">
        <v>140</v>
      </c>
      <c r="M309" t="s">
        <v>41</v>
      </c>
      <c r="N309" s="4">
        <v>3</v>
      </c>
      <c r="O309" t="s">
        <v>103</v>
      </c>
      <c r="P309" t="s">
        <v>50</v>
      </c>
      <c r="Q309" t="s">
        <v>51</v>
      </c>
      <c r="R309">
        <v>5</v>
      </c>
      <c r="S309" t="s">
        <v>58</v>
      </c>
      <c r="T309">
        <v>0</v>
      </c>
      <c r="U309" t="s">
        <v>36</v>
      </c>
      <c r="V309" t="s">
        <v>51</v>
      </c>
      <c r="W309">
        <v>3</v>
      </c>
      <c r="X309" t="s">
        <v>58</v>
      </c>
      <c r="Y309">
        <v>3</v>
      </c>
    </row>
    <row r="310" spans="1:25" x14ac:dyDescent="0.25">
      <c r="A310" t="s">
        <v>200</v>
      </c>
      <c r="B310">
        <v>20</v>
      </c>
      <c r="C310">
        <v>1</v>
      </c>
      <c r="D310">
        <v>5</v>
      </c>
      <c r="E310" t="s">
        <v>42</v>
      </c>
      <c r="F310" t="s">
        <v>26</v>
      </c>
      <c r="G310">
        <v>3</v>
      </c>
      <c r="H310">
        <f>stimuli_table[[#This Row],[n_colour1_left]]+stimuli_table[[#This Row],[n_colour2_left]]</f>
        <v>5</v>
      </c>
      <c r="I310" t="s">
        <v>50</v>
      </c>
      <c r="J310" t="s">
        <v>51</v>
      </c>
      <c r="K310" t="s">
        <v>29</v>
      </c>
      <c r="L310" t="s">
        <v>141</v>
      </c>
      <c r="M310" t="s">
        <v>31</v>
      </c>
      <c r="N310" s="1">
        <v>1</v>
      </c>
      <c r="O310" t="s">
        <v>103</v>
      </c>
      <c r="P310" t="s">
        <v>52</v>
      </c>
      <c r="Q310" t="s">
        <v>51</v>
      </c>
      <c r="R310">
        <v>3</v>
      </c>
      <c r="S310" t="s">
        <v>58</v>
      </c>
      <c r="T310">
        <v>2</v>
      </c>
      <c r="U310" t="s">
        <v>36</v>
      </c>
      <c r="V310" t="s">
        <v>51</v>
      </c>
      <c r="W310">
        <v>3</v>
      </c>
      <c r="X310" t="s">
        <v>58</v>
      </c>
      <c r="Y310">
        <v>3</v>
      </c>
    </row>
    <row r="311" spans="1:25" x14ac:dyDescent="0.25">
      <c r="A311" t="s">
        <v>200</v>
      </c>
      <c r="B311">
        <v>20</v>
      </c>
      <c r="C311">
        <v>2</v>
      </c>
      <c r="D311">
        <v>6</v>
      </c>
      <c r="E311" t="s">
        <v>42</v>
      </c>
      <c r="F311" t="s">
        <v>37</v>
      </c>
      <c r="G311">
        <v>3</v>
      </c>
      <c r="H311">
        <f>stimuli_table[[#This Row],[n_colour1_left]]+stimuli_table[[#This Row],[n_colour2_left]]</f>
        <v>5</v>
      </c>
      <c r="I311" t="s">
        <v>50</v>
      </c>
      <c r="J311" t="s">
        <v>51</v>
      </c>
      <c r="K311" t="s">
        <v>29</v>
      </c>
      <c r="L311" t="s">
        <v>141</v>
      </c>
      <c r="M311" t="s">
        <v>41</v>
      </c>
      <c r="N311" s="1">
        <v>2</v>
      </c>
      <c r="O311" t="s">
        <v>103</v>
      </c>
      <c r="P311" t="s">
        <v>50</v>
      </c>
      <c r="Q311" t="s">
        <v>51</v>
      </c>
      <c r="R311">
        <v>0</v>
      </c>
      <c r="S311" t="s">
        <v>58</v>
      </c>
      <c r="T311">
        <v>5</v>
      </c>
      <c r="U311" t="s">
        <v>36</v>
      </c>
      <c r="V311" t="s">
        <v>51</v>
      </c>
      <c r="W311">
        <v>3</v>
      </c>
      <c r="X311" t="s">
        <v>58</v>
      </c>
      <c r="Y311">
        <v>3</v>
      </c>
    </row>
    <row r="312" spans="1:25" x14ac:dyDescent="0.25">
      <c r="A312" t="s">
        <v>200</v>
      </c>
      <c r="B312">
        <v>20</v>
      </c>
      <c r="C312">
        <v>3</v>
      </c>
      <c r="D312">
        <v>7</v>
      </c>
      <c r="E312" t="s">
        <v>42</v>
      </c>
      <c r="F312" t="s">
        <v>39</v>
      </c>
      <c r="G312">
        <v>3</v>
      </c>
      <c r="H312">
        <f>stimuli_table[[#This Row],[n_colour1_left]]+stimuli_table[[#This Row],[n_colour2_left]]</f>
        <v>5</v>
      </c>
      <c r="I312" t="s">
        <v>50</v>
      </c>
      <c r="J312" t="s">
        <v>51</v>
      </c>
      <c r="K312" t="s">
        <v>29</v>
      </c>
      <c r="L312" t="s">
        <v>141</v>
      </c>
      <c r="M312" t="s">
        <v>41</v>
      </c>
      <c r="N312" s="1">
        <v>3</v>
      </c>
      <c r="O312" t="s">
        <v>103</v>
      </c>
      <c r="P312" t="s">
        <v>50</v>
      </c>
      <c r="Q312" t="s">
        <v>51</v>
      </c>
      <c r="R312">
        <v>2</v>
      </c>
      <c r="S312" t="s">
        <v>58</v>
      </c>
      <c r="T312">
        <v>3</v>
      </c>
      <c r="U312" t="s">
        <v>36</v>
      </c>
      <c r="V312" t="s">
        <v>51</v>
      </c>
      <c r="W312">
        <v>3</v>
      </c>
      <c r="X312" t="s">
        <v>58</v>
      </c>
      <c r="Y312">
        <v>3</v>
      </c>
    </row>
    <row r="313" spans="1:25" x14ac:dyDescent="0.25">
      <c r="A313" t="s">
        <v>200</v>
      </c>
      <c r="B313">
        <v>20</v>
      </c>
      <c r="C313">
        <v>4</v>
      </c>
      <c r="D313">
        <v>8</v>
      </c>
      <c r="E313" t="s">
        <v>42</v>
      </c>
      <c r="F313" t="s">
        <v>40</v>
      </c>
      <c r="G313">
        <v>3</v>
      </c>
      <c r="H313">
        <f>stimuli_table[[#This Row],[n_colour1_left]]+stimuli_table[[#This Row],[n_colour2_left]]</f>
        <v>5</v>
      </c>
      <c r="I313" t="s">
        <v>50</v>
      </c>
      <c r="J313" t="s">
        <v>51</v>
      </c>
      <c r="K313" t="s">
        <v>29</v>
      </c>
      <c r="L313" t="s">
        <v>141</v>
      </c>
      <c r="M313" t="s">
        <v>38</v>
      </c>
      <c r="N313" s="1">
        <v>4</v>
      </c>
      <c r="O313" t="s">
        <v>103</v>
      </c>
      <c r="P313" t="s">
        <v>50</v>
      </c>
      <c r="Q313" t="s">
        <v>51</v>
      </c>
      <c r="R313">
        <v>5</v>
      </c>
      <c r="S313" t="s">
        <v>58</v>
      </c>
      <c r="T313">
        <v>0</v>
      </c>
      <c r="U313" t="s">
        <v>36</v>
      </c>
      <c r="V313" t="s">
        <v>51</v>
      </c>
      <c r="W313">
        <v>3</v>
      </c>
      <c r="X313" t="s">
        <v>58</v>
      </c>
      <c r="Y313">
        <v>3</v>
      </c>
    </row>
    <row r="314" spans="1:25" x14ac:dyDescent="0.25">
      <c r="A314" t="s">
        <v>200</v>
      </c>
      <c r="B314">
        <v>20</v>
      </c>
      <c r="C314">
        <v>1</v>
      </c>
      <c r="D314">
        <v>9</v>
      </c>
      <c r="E314" t="s">
        <v>44</v>
      </c>
      <c r="F314" t="s">
        <v>26</v>
      </c>
      <c r="G314">
        <v>3</v>
      </c>
      <c r="H314">
        <f>stimuli_table[[#This Row],[n_colour1_left]]+stimuli_table[[#This Row],[n_colour2_left]]</f>
        <v>5</v>
      </c>
      <c r="I314" t="s">
        <v>50</v>
      </c>
      <c r="J314" t="s">
        <v>51</v>
      </c>
      <c r="K314" t="s">
        <v>29</v>
      </c>
      <c r="L314" t="s">
        <v>142</v>
      </c>
      <c r="M314" t="s">
        <v>31</v>
      </c>
      <c r="N314" s="2">
        <v>2</v>
      </c>
      <c r="O314" t="s">
        <v>103</v>
      </c>
      <c r="P314" t="s">
        <v>52</v>
      </c>
      <c r="Q314" t="s">
        <v>51</v>
      </c>
      <c r="R314">
        <v>3</v>
      </c>
      <c r="S314" t="s">
        <v>58</v>
      </c>
      <c r="T314">
        <v>2</v>
      </c>
      <c r="U314" t="s">
        <v>36</v>
      </c>
      <c r="V314" t="s">
        <v>51</v>
      </c>
      <c r="W314">
        <v>3</v>
      </c>
      <c r="X314" t="s">
        <v>58</v>
      </c>
      <c r="Y314">
        <v>3</v>
      </c>
    </row>
    <row r="315" spans="1:25" x14ac:dyDescent="0.25">
      <c r="A315" t="s">
        <v>200</v>
      </c>
      <c r="B315">
        <v>20</v>
      </c>
      <c r="C315">
        <v>2</v>
      </c>
      <c r="D315">
        <v>10</v>
      </c>
      <c r="E315" t="s">
        <v>44</v>
      </c>
      <c r="F315" t="s">
        <v>37</v>
      </c>
      <c r="G315">
        <v>3</v>
      </c>
      <c r="H315">
        <f>stimuli_table[[#This Row],[n_colour1_left]]+stimuli_table[[#This Row],[n_colour2_left]]</f>
        <v>5</v>
      </c>
      <c r="I315" t="s">
        <v>50</v>
      </c>
      <c r="J315" t="s">
        <v>51</v>
      </c>
      <c r="K315" t="s">
        <v>29</v>
      </c>
      <c r="L315" t="s">
        <v>142</v>
      </c>
      <c r="M315" t="s">
        <v>41</v>
      </c>
      <c r="N315" s="2">
        <v>3</v>
      </c>
      <c r="O315" t="s">
        <v>103</v>
      </c>
      <c r="P315" t="s">
        <v>50</v>
      </c>
      <c r="Q315" t="s">
        <v>51</v>
      </c>
      <c r="R315">
        <v>0</v>
      </c>
      <c r="S315" t="s">
        <v>58</v>
      </c>
      <c r="T315">
        <v>5</v>
      </c>
      <c r="U315" t="s">
        <v>36</v>
      </c>
      <c r="V315" t="s">
        <v>51</v>
      </c>
      <c r="W315">
        <v>3</v>
      </c>
      <c r="X315" t="s">
        <v>58</v>
      </c>
      <c r="Y315">
        <v>3</v>
      </c>
    </row>
    <row r="316" spans="1:25" x14ac:dyDescent="0.25">
      <c r="A316" t="s">
        <v>200</v>
      </c>
      <c r="B316">
        <v>20</v>
      </c>
      <c r="C316">
        <v>3</v>
      </c>
      <c r="D316">
        <v>11</v>
      </c>
      <c r="E316" t="s">
        <v>44</v>
      </c>
      <c r="F316" t="s">
        <v>39</v>
      </c>
      <c r="G316">
        <v>3</v>
      </c>
      <c r="H316">
        <f>stimuli_table[[#This Row],[n_colour1_left]]+stimuli_table[[#This Row],[n_colour2_left]]</f>
        <v>5</v>
      </c>
      <c r="I316" t="s">
        <v>50</v>
      </c>
      <c r="J316" t="s">
        <v>51</v>
      </c>
      <c r="K316" t="s">
        <v>29</v>
      </c>
      <c r="L316" t="s">
        <v>142</v>
      </c>
      <c r="M316" t="s">
        <v>41</v>
      </c>
      <c r="N316" s="2">
        <v>4</v>
      </c>
      <c r="O316" t="s">
        <v>103</v>
      </c>
      <c r="P316" t="s">
        <v>50</v>
      </c>
      <c r="Q316" t="s">
        <v>51</v>
      </c>
      <c r="R316">
        <v>2</v>
      </c>
      <c r="S316" t="s">
        <v>58</v>
      </c>
      <c r="T316">
        <v>3</v>
      </c>
      <c r="U316" t="s">
        <v>36</v>
      </c>
      <c r="V316" t="s">
        <v>51</v>
      </c>
      <c r="W316">
        <v>3</v>
      </c>
      <c r="X316" t="s">
        <v>58</v>
      </c>
      <c r="Y316">
        <v>3</v>
      </c>
    </row>
    <row r="317" spans="1:25" x14ac:dyDescent="0.25">
      <c r="A317" t="s">
        <v>200</v>
      </c>
      <c r="B317">
        <v>20</v>
      </c>
      <c r="C317">
        <v>4</v>
      </c>
      <c r="D317">
        <v>12</v>
      </c>
      <c r="E317" t="s">
        <v>44</v>
      </c>
      <c r="F317" t="s">
        <v>40</v>
      </c>
      <c r="G317">
        <v>3</v>
      </c>
      <c r="H317">
        <f>stimuli_table[[#This Row],[n_colour1_left]]+stimuli_table[[#This Row],[n_colour2_left]]</f>
        <v>5</v>
      </c>
      <c r="I317" t="s">
        <v>50</v>
      </c>
      <c r="J317" t="s">
        <v>51</v>
      </c>
      <c r="K317" t="s">
        <v>29</v>
      </c>
      <c r="L317" t="s">
        <v>142</v>
      </c>
      <c r="M317" t="s">
        <v>38</v>
      </c>
      <c r="N317" s="2">
        <v>1</v>
      </c>
      <c r="O317" t="s">
        <v>103</v>
      </c>
      <c r="P317" t="s">
        <v>50</v>
      </c>
      <c r="Q317" t="s">
        <v>51</v>
      </c>
      <c r="R317">
        <v>5</v>
      </c>
      <c r="S317" t="s">
        <v>58</v>
      </c>
      <c r="T317">
        <v>0</v>
      </c>
      <c r="U317" t="s">
        <v>36</v>
      </c>
      <c r="V317" t="s">
        <v>51</v>
      </c>
      <c r="W317">
        <v>3</v>
      </c>
      <c r="X317" t="s">
        <v>58</v>
      </c>
      <c r="Y317">
        <v>3</v>
      </c>
    </row>
    <row r="318" spans="1:25" x14ac:dyDescent="0.25">
      <c r="A318" t="s">
        <v>200</v>
      </c>
      <c r="B318">
        <v>20</v>
      </c>
      <c r="C318">
        <v>1</v>
      </c>
      <c r="D318">
        <v>13</v>
      </c>
      <c r="E318" t="s">
        <v>46</v>
      </c>
      <c r="F318" t="s">
        <v>26</v>
      </c>
      <c r="G318">
        <v>3</v>
      </c>
      <c r="H318">
        <f>stimuli_table[[#This Row],[n_colour1_left]]+stimuli_table[[#This Row],[n_colour2_left]]</f>
        <v>5</v>
      </c>
      <c r="I318" t="s">
        <v>50</v>
      </c>
      <c r="J318" t="s">
        <v>51</v>
      </c>
      <c r="K318" t="s">
        <v>29</v>
      </c>
      <c r="L318" t="s">
        <v>143</v>
      </c>
      <c r="M318" t="s">
        <v>31</v>
      </c>
      <c r="N318" s="3">
        <v>3</v>
      </c>
      <c r="O318" t="s">
        <v>103</v>
      </c>
      <c r="P318" t="s">
        <v>52</v>
      </c>
      <c r="Q318" t="s">
        <v>51</v>
      </c>
      <c r="R318">
        <v>3</v>
      </c>
      <c r="S318" t="s">
        <v>58</v>
      </c>
      <c r="T318">
        <v>2</v>
      </c>
      <c r="U318" t="s">
        <v>36</v>
      </c>
      <c r="V318" t="s">
        <v>51</v>
      </c>
      <c r="W318">
        <v>3</v>
      </c>
      <c r="X318" t="s">
        <v>58</v>
      </c>
      <c r="Y318">
        <v>3</v>
      </c>
    </row>
    <row r="319" spans="1:25" x14ac:dyDescent="0.25">
      <c r="A319" t="s">
        <v>200</v>
      </c>
      <c r="B319">
        <v>20</v>
      </c>
      <c r="C319">
        <v>2</v>
      </c>
      <c r="D319">
        <v>14</v>
      </c>
      <c r="E319" t="s">
        <v>46</v>
      </c>
      <c r="F319" t="s">
        <v>37</v>
      </c>
      <c r="G319">
        <v>3</v>
      </c>
      <c r="H319">
        <f>stimuli_table[[#This Row],[n_colour1_left]]+stimuli_table[[#This Row],[n_colour2_left]]</f>
        <v>5</v>
      </c>
      <c r="I319" t="s">
        <v>50</v>
      </c>
      <c r="J319" t="s">
        <v>51</v>
      </c>
      <c r="K319" t="s">
        <v>29</v>
      </c>
      <c r="L319" t="s">
        <v>143</v>
      </c>
      <c r="M319" t="s">
        <v>38</v>
      </c>
      <c r="N319" s="3">
        <v>4</v>
      </c>
      <c r="O319" t="s">
        <v>103</v>
      </c>
      <c r="P319" t="s">
        <v>50</v>
      </c>
      <c r="Q319" t="s">
        <v>51</v>
      </c>
      <c r="R319">
        <v>0</v>
      </c>
      <c r="S319" t="s">
        <v>58</v>
      </c>
      <c r="T319">
        <v>5</v>
      </c>
      <c r="U319" t="s">
        <v>36</v>
      </c>
      <c r="V319" t="s">
        <v>51</v>
      </c>
      <c r="W319">
        <v>3</v>
      </c>
      <c r="X319" t="s">
        <v>58</v>
      </c>
      <c r="Y319">
        <v>3</v>
      </c>
    </row>
    <row r="320" spans="1:25" x14ac:dyDescent="0.25">
      <c r="A320" t="s">
        <v>200</v>
      </c>
      <c r="B320">
        <v>20</v>
      </c>
      <c r="C320">
        <v>3</v>
      </c>
      <c r="D320">
        <v>15</v>
      </c>
      <c r="E320" t="s">
        <v>46</v>
      </c>
      <c r="F320" t="s">
        <v>39</v>
      </c>
      <c r="G320">
        <v>3</v>
      </c>
      <c r="H320">
        <f>stimuli_table[[#This Row],[n_colour1_left]]+stimuli_table[[#This Row],[n_colour2_left]]</f>
        <v>5</v>
      </c>
      <c r="I320" t="s">
        <v>50</v>
      </c>
      <c r="J320" t="s">
        <v>51</v>
      </c>
      <c r="K320" t="s">
        <v>29</v>
      </c>
      <c r="L320" t="s">
        <v>143</v>
      </c>
      <c r="M320" t="s">
        <v>41</v>
      </c>
      <c r="N320" s="3">
        <v>1</v>
      </c>
      <c r="O320" t="s">
        <v>103</v>
      </c>
      <c r="P320" t="s">
        <v>50</v>
      </c>
      <c r="Q320" t="s">
        <v>51</v>
      </c>
      <c r="R320">
        <v>2</v>
      </c>
      <c r="S320" t="s">
        <v>58</v>
      </c>
      <c r="T320">
        <v>3</v>
      </c>
      <c r="U320" t="s">
        <v>36</v>
      </c>
      <c r="V320" t="s">
        <v>51</v>
      </c>
      <c r="W320">
        <v>3</v>
      </c>
      <c r="X320" t="s">
        <v>58</v>
      </c>
      <c r="Y320">
        <v>3</v>
      </c>
    </row>
    <row r="321" spans="1:25" x14ac:dyDescent="0.25">
      <c r="A321" t="s">
        <v>200</v>
      </c>
      <c r="B321">
        <v>20</v>
      </c>
      <c r="C321">
        <v>4</v>
      </c>
      <c r="D321">
        <v>16</v>
      </c>
      <c r="E321" t="s">
        <v>46</v>
      </c>
      <c r="F321" t="s">
        <v>40</v>
      </c>
      <c r="G321">
        <v>3</v>
      </c>
      <c r="H321">
        <f>stimuli_table[[#This Row],[n_colour1_left]]+stimuli_table[[#This Row],[n_colour2_left]]</f>
        <v>5</v>
      </c>
      <c r="I321" t="s">
        <v>50</v>
      </c>
      <c r="J321" t="s">
        <v>51</v>
      </c>
      <c r="K321" t="s">
        <v>29</v>
      </c>
      <c r="L321" t="s">
        <v>143</v>
      </c>
      <c r="M321" t="s">
        <v>41</v>
      </c>
      <c r="N321" s="3">
        <v>2</v>
      </c>
      <c r="O321" t="s">
        <v>103</v>
      </c>
      <c r="P321" t="s">
        <v>50</v>
      </c>
      <c r="Q321" t="s">
        <v>51</v>
      </c>
      <c r="R321">
        <v>5</v>
      </c>
      <c r="S321" t="s">
        <v>58</v>
      </c>
      <c r="T321">
        <v>0</v>
      </c>
      <c r="U321" t="s">
        <v>36</v>
      </c>
      <c r="V321" t="s">
        <v>51</v>
      </c>
      <c r="W321">
        <v>3</v>
      </c>
      <c r="X321" t="s">
        <v>58</v>
      </c>
      <c r="Y321">
        <v>3</v>
      </c>
    </row>
    <row r="322" spans="1:25" x14ac:dyDescent="0.25">
      <c r="A322" t="s">
        <v>201</v>
      </c>
      <c r="B322">
        <v>101</v>
      </c>
      <c r="C322">
        <v>1</v>
      </c>
      <c r="D322">
        <v>1</v>
      </c>
      <c r="E322" t="s">
        <v>44</v>
      </c>
      <c r="F322" t="s">
        <v>144</v>
      </c>
      <c r="G322" t="s">
        <v>29</v>
      </c>
      <c r="H322" t="s">
        <v>29</v>
      </c>
      <c r="I322" t="s">
        <v>145</v>
      </c>
      <c r="J322" t="s">
        <v>92</v>
      </c>
      <c r="K322" t="s">
        <v>28</v>
      </c>
      <c r="L322" t="str">
        <f>CONCATENATE("Ist jedes ",stimuli_table[[#This Row],[shape_noun]]," entweder ",stimuli_table[[#This Row],[color_adjective1]]," oder ",stimuli_table[[#This Row],[color_adjective2]],"?")</f>
        <v>Ist jedes Dreieck entweder rot oder blau?</v>
      </c>
      <c r="M322" t="s">
        <v>31</v>
      </c>
      <c r="N322" t="s">
        <v>146</v>
      </c>
      <c r="O322" t="s">
        <v>103</v>
      </c>
      <c r="P322" t="s">
        <v>33</v>
      </c>
      <c r="Q322" t="s">
        <v>35</v>
      </c>
      <c r="R322">
        <v>3</v>
      </c>
      <c r="S322" t="s">
        <v>34</v>
      </c>
      <c r="T322">
        <v>4</v>
      </c>
      <c r="U322" t="s">
        <v>27</v>
      </c>
      <c r="V322" t="s">
        <v>35</v>
      </c>
      <c r="W322">
        <v>2</v>
      </c>
      <c r="X322" t="s">
        <v>34</v>
      </c>
      <c r="Y322">
        <v>2</v>
      </c>
    </row>
    <row r="323" spans="1:25" x14ac:dyDescent="0.25">
      <c r="A323" t="s">
        <v>201</v>
      </c>
      <c r="B323">
        <v>101</v>
      </c>
      <c r="C323">
        <v>2</v>
      </c>
      <c r="D323">
        <v>2</v>
      </c>
      <c r="E323" t="s">
        <v>44</v>
      </c>
      <c r="F323" t="s">
        <v>147</v>
      </c>
      <c r="G323" t="s">
        <v>29</v>
      </c>
      <c r="H323" t="s">
        <v>29</v>
      </c>
      <c r="I323" t="s">
        <v>145</v>
      </c>
      <c r="J323" t="s">
        <v>92</v>
      </c>
      <c r="K323" t="s">
        <v>28</v>
      </c>
      <c r="L323" t="str">
        <f>CONCATENATE("Ist jedes ",stimuli_table[[#This Row],[shape_noun]]," entweder ",stimuli_table[[#This Row],[color_adjective1]]," oder ",stimuli_table[[#This Row],[color_adjective2]],"?")</f>
        <v>Ist jedes Dreieck entweder rot oder blau?</v>
      </c>
      <c r="M323" t="s">
        <v>38</v>
      </c>
      <c r="N323" t="s">
        <v>146</v>
      </c>
      <c r="O323" t="s">
        <v>103</v>
      </c>
      <c r="P323" t="s">
        <v>36</v>
      </c>
      <c r="Q323" t="s">
        <v>35</v>
      </c>
      <c r="R323">
        <v>0</v>
      </c>
      <c r="S323" t="s">
        <v>34</v>
      </c>
      <c r="T323">
        <v>7</v>
      </c>
      <c r="U323" t="s">
        <v>27</v>
      </c>
      <c r="V323" t="s">
        <v>35</v>
      </c>
      <c r="W323">
        <v>2</v>
      </c>
      <c r="X323" t="s">
        <v>34</v>
      </c>
      <c r="Y323">
        <v>2</v>
      </c>
    </row>
    <row r="324" spans="1:25" x14ac:dyDescent="0.25">
      <c r="A324" t="s">
        <v>201</v>
      </c>
      <c r="B324">
        <v>101</v>
      </c>
      <c r="C324">
        <v>3</v>
      </c>
      <c r="D324">
        <v>3</v>
      </c>
      <c r="E324" t="s">
        <v>44</v>
      </c>
      <c r="F324" t="s">
        <v>148</v>
      </c>
      <c r="G324" t="s">
        <v>29</v>
      </c>
      <c r="H324" t="s">
        <v>29</v>
      </c>
      <c r="I324" t="s">
        <v>145</v>
      </c>
      <c r="J324" t="s">
        <v>92</v>
      </c>
      <c r="K324" t="s">
        <v>28</v>
      </c>
      <c r="L324" t="str">
        <f>CONCATENATE("Ist jedes ",stimuli_table[[#This Row],[shape_noun]]," entweder ",stimuli_table[[#This Row],[color_adjective1]]," oder ",stimuli_table[[#This Row],[color_adjective2]],"?")</f>
        <v>Ist jedes Dreieck entweder rot oder blau?</v>
      </c>
      <c r="M324" t="s">
        <v>38</v>
      </c>
      <c r="N324" t="s">
        <v>146</v>
      </c>
      <c r="O324" t="s">
        <v>103</v>
      </c>
      <c r="P324" t="s">
        <v>36</v>
      </c>
      <c r="Q324" t="s">
        <v>35</v>
      </c>
      <c r="R324">
        <v>3</v>
      </c>
      <c r="S324" t="s">
        <v>34</v>
      </c>
      <c r="T324">
        <v>4</v>
      </c>
      <c r="U324" t="s">
        <v>27</v>
      </c>
      <c r="V324" t="s">
        <v>35</v>
      </c>
      <c r="W324">
        <v>2</v>
      </c>
      <c r="X324" t="s">
        <v>34</v>
      </c>
      <c r="Y324">
        <v>2</v>
      </c>
    </row>
    <row r="325" spans="1:25" x14ac:dyDescent="0.25">
      <c r="A325" t="s">
        <v>201</v>
      </c>
      <c r="B325">
        <v>101</v>
      </c>
      <c r="C325">
        <v>4</v>
      </c>
      <c r="D325">
        <v>4</v>
      </c>
      <c r="E325" t="s">
        <v>44</v>
      </c>
      <c r="F325" t="s">
        <v>149</v>
      </c>
      <c r="G325" t="s">
        <v>29</v>
      </c>
      <c r="H325" t="s">
        <v>29</v>
      </c>
      <c r="I325" t="s">
        <v>145</v>
      </c>
      <c r="J325" t="s">
        <v>92</v>
      </c>
      <c r="K325" t="s">
        <v>28</v>
      </c>
      <c r="L325" t="str">
        <f>CONCATENATE("Ist jedes ",stimuli_table[[#This Row],[shape_noun]]," entweder ",stimuli_table[[#This Row],[color_adjective1]]," oder ",stimuli_table[[#This Row],[color_adjective2]],"?")</f>
        <v>Ist jedes Dreieck entweder rot oder blau?</v>
      </c>
      <c r="M325" t="s">
        <v>41</v>
      </c>
      <c r="N325" t="s">
        <v>146</v>
      </c>
      <c r="O325" t="s">
        <v>103</v>
      </c>
      <c r="P325" t="s">
        <v>36</v>
      </c>
      <c r="Q325" t="s">
        <v>35</v>
      </c>
      <c r="R325">
        <v>3</v>
      </c>
      <c r="S325" t="s">
        <v>58</v>
      </c>
      <c r="T325">
        <v>4</v>
      </c>
      <c r="U325" t="s">
        <v>27</v>
      </c>
      <c r="V325" t="s">
        <v>35</v>
      </c>
      <c r="W325">
        <v>2</v>
      </c>
      <c r="X325" t="s">
        <v>58</v>
      </c>
      <c r="Y325">
        <v>2</v>
      </c>
    </row>
    <row r="326" spans="1:25" x14ac:dyDescent="0.25">
      <c r="A326" t="s">
        <v>201</v>
      </c>
      <c r="B326">
        <v>101</v>
      </c>
      <c r="C326">
        <v>1</v>
      </c>
      <c r="D326">
        <v>5</v>
      </c>
      <c r="E326" t="s">
        <v>44</v>
      </c>
      <c r="F326" t="s">
        <v>150</v>
      </c>
      <c r="G326" t="s">
        <v>29</v>
      </c>
      <c r="H326" t="s">
        <v>29</v>
      </c>
      <c r="I326" t="s">
        <v>145</v>
      </c>
      <c r="J326" t="s">
        <v>92</v>
      </c>
      <c r="K326" t="s">
        <v>28</v>
      </c>
      <c r="L326" t="str">
        <f>CONCATENATE("Ist jedes ",stimuli_table[[#This Row],[shape_noun]]," entweder ",stimuli_table[[#This Row],[color_adjective2]]," oder ",stimuli_table[[#This Row],[color_adjective1]],"?")</f>
        <v>Ist jedes Dreieck entweder blau oder rot?</v>
      </c>
      <c r="M326" t="s">
        <v>31</v>
      </c>
      <c r="N326" t="s">
        <v>151</v>
      </c>
      <c r="O326" t="s">
        <v>103</v>
      </c>
      <c r="P326" t="s">
        <v>33</v>
      </c>
      <c r="Q326" t="s">
        <v>35</v>
      </c>
      <c r="R326">
        <v>3</v>
      </c>
      <c r="S326" t="s">
        <v>34</v>
      </c>
      <c r="T326">
        <v>4</v>
      </c>
      <c r="U326" t="s">
        <v>27</v>
      </c>
      <c r="V326" t="s">
        <v>35</v>
      </c>
      <c r="W326">
        <v>2</v>
      </c>
      <c r="X326" t="s">
        <v>34</v>
      </c>
      <c r="Y326">
        <v>2</v>
      </c>
    </row>
    <row r="327" spans="1:25" x14ac:dyDescent="0.25">
      <c r="A327" t="s">
        <v>201</v>
      </c>
      <c r="B327">
        <v>101</v>
      </c>
      <c r="C327">
        <v>2</v>
      </c>
      <c r="D327">
        <v>6</v>
      </c>
      <c r="E327" t="s">
        <v>44</v>
      </c>
      <c r="F327" t="s">
        <v>152</v>
      </c>
      <c r="G327" t="s">
        <v>29</v>
      </c>
      <c r="H327" t="s">
        <v>29</v>
      </c>
      <c r="I327" t="s">
        <v>145</v>
      </c>
      <c r="J327" t="s">
        <v>92</v>
      </c>
      <c r="K327" t="s">
        <v>28</v>
      </c>
      <c r="L327" t="str">
        <f>CONCATENATE("Ist jedes ",stimuli_table[[#This Row],[shape_noun]]," entweder ",stimuli_table[[#This Row],[color_adjective2]]," oder ",stimuli_table[[#This Row],[color_adjective1]],"?")</f>
        <v>Ist jedes Dreieck entweder blau oder rot?</v>
      </c>
      <c r="M327" t="s">
        <v>38</v>
      </c>
      <c r="N327" t="s">
        <v>151</v>
      </c>
      <c r="O327" t="s">
        <v>103</v>
      </c>
      <c r="P327" t="s">
        <v>36</v>
      </c>
      <c r="Q327" t="s">
        <v>35</v>
      </c>
      <c r="R327">
        <v>0</v>
      </c>
      <c r="S327" t="s">
        <v>34</v>
      </c>
      <c r="T327">
        <v>7</v>
      </c>
      <c r="U327" t="s">
        <v>27</v>
      </c>
      <c r="V327" t="s">
        <v>35</v>
      </c>
      <c r="W327">
        <v>2</v>
      </c>
      <c r="X327" t="s">
        <v>34</v>
      </c>
      <c r="Y327">
        <v>2</v>
      </c>
    </row>
    <row r="328" spans="1:25" x14ac:dyDescent="0.25">
      <c r="A328" t="s">
        <v>201</v>
      </c>
      <c r="B328">
        <v>101</v>
      </c>
      <c r="C328">
        <v>3</v>
      </c>
      <c r="D328">
        <v>7</v>
      </c>
      <c r="E328" t="s">
        <v>44</v>
      </c>
      <c r="F328" t="s">
        <v>153</v>
      </c>
      <c r="G328" t="s">
        <v>29</v>
      </c>
      <c r="H328" t="s">
        <v>29</v>
      </c>
      <c r="I328" t="s">
        <v>145</v>
      </c>
      <c r="J328" t="s">
        <v>92</v>
      </c>
      <c r="K328" t="s">
        <v>28</v>
      </c>
      <c r="L328" t="str">
        <f>CONCATENATE("Ist jedes ",stimuli_table[[#This Row],[shape_noun]]," entweder ",stimuli_table[[#This Row],[color_adjective2]]," oder ",stimuli_table[[#This Row],[color_adjective1]],"?")</f>
        <v>Ist jedes Dreieck entweder blau oder rot?</v>
      </c>
      <c r="M328" t="s">
        <v>38</v>
      </c>
      <c r="N328" t="s">
        <v>151</v>
      </c>
      <c r="O328" t="s">
        <v>103</v>
      </c>
      <c r="P328" t="s">
        <v>36</v>
      </c>
      <c r="Q328" t="s">
        <v>35</v>
      </c>
      <c r="R328">
        <v>3</v>
      </c>
      <c r="S328" t="s">
        <v>34</v>
      </c>
      <c r="T328">
        <v>4</v>
      </c>
      <c r="U328" t="s">
        <v>27</v>
      </c>
      <c r="V328" t="s">
        <v>35</v>
      </c>
      <c r="W328">
        <v>2</v>
      </c>
      <c r="X328" t="s">
        <v>34</v>
      </c>
      <c r="Y328">
        <v>2</v>
      </c>
    </row>
    <row r="329" spans="1:25" x14ac:dyDescent="0.25">
      <c r="A329" t="s">
        <v>201</v>
      </c>
      <c r="B329">
        <v>101</v>
      </c>
      <c r="C329">
        <v>4</v>
      </c>
      <c r="D329">
        <v>8</v>
      </c>
      <c r="E329" t="s">
        <v>44</v>
      </c>
      <c r="F329" t="s">
        <v>154</v>
      </c>
      <c r="G329" t="s">
        <v>29</v>
      </c>
      <c r="H329" t="s">
        <v>29</v>
      </c>
      <c r="I329" t="s">
        <v>145</v>
      </c>
      <c r="J329" t="s">
        <v>92</v>
      </c>
      <c r="K329" t="s">
        <v>28</v>
      </c>
      <c r="L329" t="str">
        <f>CONCATENATE("Ist jedes ",stimuli_table[[#This Row],[shape_noun]]," entweder ",stimuli_table[[#This Row],[color_adjective2]]," oder ",stimuli_table[[#This Row],[color_adjective1]],"?")</f>
        <v>Ist jedes Dreieck entweder blau oder rot?</v>
      </c>
      <c r="M329" t="s">
        <v>41</v>
      </c>
      <c r="N329" t="s">
        <v>151</v>
      </c>
      <c r="O329" t="s">
        <v>103</v>
      </c>
      <c r="P329" t="s">
        <v>36</v>
      </c>
      <c r="Q329" t="s">
        <v>35</v>
      </c>
      <c r="R329">
        <v>3</v>
      </c>
      <c r="S329" t="s">
        <v>58</v>
      </c>
      <c r="T329">
        <v>4</v>
      </c>
      <c r="U329" t="s">
        <v>27</v>
      </c>
      <c r="V329" t="s">
        <v>35</v>
      </c>
      <c r="W329">
        <v>2</v>
      </c>
      <c r="X329" t="s">
        <v>58</v>
      </c>
      <c r="Y329">
        <v>2</v>
      </c>
    </row>
    <row r="330" spans="1:25" x14ac:dyDescent="0.25">
      <c r="A330" t="s">
        <v>201</v>
      </c>
      <c r="B330">
        <v>102</v>
      </c>
      <c r="C330">
        <v>1</v>
      </c>
      <c r="D330">
        <v>1</v>
      </c>
      <c r="E330" t="s">
        <v>44</v>
      </c>
      <c r="F330" t="s">
        <v>144</v>
      </c>
      <c r="G330" t="s">
        <v>29</v>
      </c>
      <c r="H330" t="s">
        <v>29</v>
      </c>
      <c r="I330" t="s">
        <v>155</v>
      </c>
      <c r="J330" t="s">
        <v>48</v>
      </c>
      <c r="K330" t="s">
        <v>123</v>
      </c>
      <c r="L330" t="str">
        <f>CONCATENATE("Ist jedes ",stimuli_table[[#This Row],[shape_noun]]," entweder ",stimuli_table[[#This Row],[color_adjective1]]," oder ",stimuli_table[[#This Row],[color_adjective2]],"?")</f>
        <v>Ist jedes Quadrat entweder orange oder grün?</v>
      </c>
      <c r="M330" t="s">
        <v>31</v>
      </c>
      <c r="N330" t="s">
        <v>151</v>
      </c>
      <c r="O330" t="s">
        <v>103</v>
      </c>
      <c r="P330" t="s">
        <v>52</v>
      </c>
      <c r="Q330" t="s">
        <v>48</v>
      </c>
      <c r="R330">
        <v>2</v>
      </c>
      <c r="S330" t="s">
        <v>66</v>
      </c>
      <c r="T330">
        <v>2</v>
      </c>
      <c r="U330" t="s">
        <v>36</v>
      </c>
      <c r="V330" t="s">
        <v>48</v>
      </c>
      <c r="W330">
        <v>4</v>
      </c>
      <c r="X330" t="s">
        <v>66</v>
      </c>
      <c r="Y330">
        <v>4</v>
      </c>
    </row>
    <row r="331" spans="1:25" x14ac:dyDescent="0.25">
      <c r="A331" t="s">
        <v>201</v>
      </c>
      <c r="B331">
        <v>102</v>
      </c>
      <c r="C331">
        <v>2</v>
      </c>
      <c r="D331">
        <v>2</v>
      </c>
      <c r="E331" t="s">
        <v>44</v>
      </c>
      <c r="F331" t="s">
        <v>147</v>
      </c>
      <c r="G331" t="s">
        <v>29</v>
      </c>
      <c r="H331" t="s">
        <v>29</v>
      </c>
      <c r="I331" t="s">
        <v>155</v>
      </c>
      <c r="J331" t="s">
        <v>48</v>
      </c>
      <c r="K331" t="s">
        <v>123</v>
      </c>
      <c r="L331" t="str">
        <f>CONCATENATE("Ist jedes ",stimuli_table[[#This Row],[shape_noun]]," entweder ",stimuli_table[[#This Row],[color_adjective1]]," oder ",stimuli_table[[#This Row],[color_adjective2]],"?")</f>
        <v>Ist jedes Quadrat entweder orange oder grün?</v>
      </c>
      <c r="M331" t="s">
        <v>38</v>
      </c>
      <c r="N331" t="s">
        <v>151</v>
      </c>
      <c r="O331" t="s">
        <v>103</v>
      </c>
      <c r="P331" t="s">
        <v>27</v>
      </c>
      <c r="Q331" t="s">
        <v>48</v>
      </c>
      <c r="R331">
        <v>0</v>
      </c>
      <c r="S331" t="s">
        <v>66</v>
      </c>
      <c r="T331">
        <v>4</v>
      </c>
      <c r="U331" t="s">
        <v>36</v>
      </c>
      <c r="V331" t="s">
        <v>48</v>
      </c>
      <c r="W331">
        <v>4</v>
      </c>
      <c r="X331" t="s">
        <v>66</v>
      </c>
      <c r="Y331">
        <v>4</v>
      </c>
    </row>
    <row r="332" spans="1:25" x14ac:dyDescent="0.25">
      <c r="A332" t="s">
        <v>201</v>
      </c>
      <c r="B332">
        <v>102</v>
      </c>
      <c r="C332">
        <v>3</v>
      </c>
      <c r="D332">
        <v>3</v>
      </c>
      <c r="E332" t="s">
        <v>44</v>
      </c>
      <c r="F332" t="s">
        <v>148</v>
      </c>
      <c r="G332" t="s">
        <v>29</v>
      </c>
      <c r="H332" t="s">
        <v>29</v>
      </c>
      <c r="I332" t="s">
        <v>155</v>
      </c>
      <c r="J332" t="s">
        <v>48</v>
      </c>
      <c r="K332" t="s">
        <v>123</v>
      </c>
      <c r="L332" t="str">
        <f>CONCATENATE("Ist jedes ",stimuli_table[[#This Row],[shape_noun]]," entweder ",stimuli_table[[#This Row],[color_adjective1]]," oder ",stimuli_table[[#This Row],[color_adjective2]],"?")</f>
        <v>Ist jedes Quadrat entweder orange oder grün?</v>
      </c>
      <c r="M332" t="s">
        <v>38</v>
      </c>
      <c r="N332" t="s">
        <v>151</v>
      </c>
      <c r="O332" t="s">
        <v>103</v>
      </c>
      <c r="P332" t="s">
        <v>27</v>
      </c>
      <c r="Q332" t="s">
        <v>48</v>
      </c>
      <c r="R332">
        <v>2</v>
      </c>
      <c r="S332" t="s">
        <v>66</v>
      </c>
      <c r="T332">
        <v>2</v>
      </c>
      <c r="U332" t="s">
        <v>36</v>
      </c>
      <c r="V332" t="s">
        <v>48</v>
      </c>
      <c r="W332">
        <v>4</v>
      </c>
      <c r="X332" t="s">
        <v>66</v>
      </c>
      <c r="Y332">
        <v>4</v>
      </c>
    </row>
    <row r="333" spans="1:25" x14ac:dyDescent="0.25">
      <c r="A333" t="s">
        <v>201</v>
      </c>
      <c r="B333">
        <v>102</v>
      </c>
      <c r="C333">
        <v>4</v>
      </c>
      <c r="D333">
        <v>4</v>
      </c>
      <c r="E333" t="s">
        <v>44</v>
      </c>
      <c r="F333" t="s">
        <v>149</v>
      </c>
      <c r="G333" t="s">
        <v>29</v>
      </c>
      <c r="H333" t="s">
        <v>29</v>
      </c>
      <c r="I333" t="s">
        <v>155</v>
      </c>
      <c r="J333" t="s">
        <v>48</v>
      </c>
      <c r="K333" t="s">
        <v>123</v>
      </c>
      <c r="L333" t="str">
        <f>CONCATENATE("Ist jedes ",stimuli_table[[#This Row],[shape_noun]]," entweder ",stimuli_table[[#This Row],[color_adjective1]]," oder ",stimuli_table[[#This Row],[color_adjective2]],"?")</f>
        <v>Ist jedes Quadrat entweder orange oder grün?</v>
      </c>
      <c r="M333" t="s">
        <v>41</v>
      </c>
      <c r="N333" t="s">
        <v>151</v>
      </c>
      <c r="O333" t="s">
        <v>103</v>
      </c>
      <c r="P333" t="s">
        <v>27</v>
      </c>
      <c r="Q333" t="s">
        <v>48</v>
      </c>
      <c r="R333">
        <v>2</v>
      </c>
      <c r="S333" t="s">
        <v>84</v>
      </c>
      <c r="T333">
        <v>2</v>
      </c>
      <c r="U333" t="s">
        <v>36</v>
      </c>
      <c r="V333" t="s">
        <v>48</v>
      </c>
      <c r="W333">
        <v>4</v>
      </c>
      <c r="X333" t="s">
        <v>84</v>
      </c>
      <c r="Y333">
        <v>4</v>
      </c>
    </row>
    <row r="334" spans="1:25" x14ac:dyDescent="0.25">
      <c r="A334" t="s">
        <v>201</v>
      </c>
      <c r="B334">
        <v>102</v>
      </c>
      <c r="C334">
        <v>1</v>
      </c>
      <c r="D334">
        <v>5</v>
      </c>
      <c r="E334" t="s">
        <v>44</v>
      </c>
      <c r="F334" t="s">
        <v>150</v>
      </c>
      <c r="G334" t="s">
        <v>29</v>
      </c>
      <c r="H334" t="s">
        <v>29</v>
      </c>
      <c r="I334" t="s">
        <v>155</v>
      </c>
      <c r="J334" t="s">
        <v>48</v>
      </c>
      <c r="K334" t="s">
        <v>123</v>
      </c>
      <c r="L334" t="str">
        <f>CONCATENATE("Ist jedes ",stimuli_table[[#This Row],[shape_noun]]," entweder ",stimuli_table[[#This Row],[color_adjective2]]," oder ",stimuli_table[[#This Row],[color_adjective1]],"?")</f>
        <v>Ist jedes Quadrat entweder grün oder orange?</v>
      </c>
      <c r="M334" t="s">
        <v>31</v>
      </c>
      <c r="N334" t="s">
        <v>146</v>
      </c>
      <c r="O334" t="s">
        <v>103</v>
      </c>
      <c r="P334" t="s">
        <v>52</v>
      </c>
      <c r="Q334" t="s">
        <v>48</v>
      </c>
      <c r="R334">
        <v>2</v>
      </c>
      <c r="S334" t="s">
        <v>66</v>
      </c>
      <c r="T334">
        <v>2</v>
      </c>
      <c r="U334" t="s">
        <v>36</v>
      </c>
      <c r="V334" t="s">
        <v>48</v>
      </c>
      <c r="W334">
        <v>4</v>
      </c>
      <c r="X334" t="s">
        <v>66</v>
      </c>
      <c r="Y334">
        <v>4</v>
      </c>
    </row>
    <row r="335" spans="1:25" x14ac:dyDescent="0.25">
      <c r="A335" t="s">
        <v>201</v>
      </c>
      <c r="B335">
        <v>102</v>
      </c>
      <c r="C335">
        <v>2</v>
      </c>
      <c r="D335">
        <v>6</v>
      </c>
      <c r="E335" t="s">
        <v>44</v>
      </c>
      <c r="F335" t="s">
        <v>152</v>
      </c>
      <c r="G335" t="s">
        <v>29</v>
      </c>
      <c r="H335" t="s">
        <v>29</v>
      </c>
      <c r="I335" t="s">
        <v>155</v>
      </c>
      <c r="J335" t="s">
        <v>48</v>
      </c>
      <c r="K335" t="s">
        <v>123</v>
      </c>
      <c r="L335" t="str">
        <f>CONCATENATE("Ist jedes ",stimuli_table[[#This Row],[shape_noun]]," entweder ",stimuli_table[[#This Row],[color_adjective2]]," oder ",stimuli_table[[#This Row],[color_adjective1]],"?")</f>
        <v>Ist jedes Quadrat entweder grün oder orange?</v>
      </c>
      <c r="M335" t="s">
        <v>38</v>
      </c>
      <c r="N335" t="s">
        <v>146</v>
      </c>
      <c r="O335" t="s">
        <v>103</v>
      </c>
      <c r="P335" t="s">
        <v>27</v>
      </c>
      <c r="Q335" t="s">
        <v>48</v>
      </c>
      <c r="R335">
        <v>0</v>
      </c>
      <c r="S335" t="s">
        <v>66</v>
      </c>
      <c r="T335">
        <v>4</v>
      </c>
      <c r="U335" t="s">
        <v>36</v>
      </c>
      <c r="V335" t="s">
        <v>48</v>
      </c>
      <c r="W335">
        <v>4</v>
      </c>
      <c r="X335" t="s">
        <v>66</v>
      </c>
      <c r="Y335">
        <v>4</v>
      </c>
    </row>
    <row r="336" spans="1:25" x14ac:dyDescent="0.25">
      <c r="A336" t="s">
        <v>201</v>
      </c>
      <c r="B336">
        <v>102</v>
      </c>
      <c r="C336">
        <v>3</v>
      </c>
      <c r="D336">
        <v>7</v>
      </c>
      <c r="E336" t="s">
        <v>44</v>
      </c>
      <c r="F336" t="s">
        <v>153</v>
      </c>
      <c r="G336" t="s">
        <v>29</v>
      </c>
      <c r="H336" t="s">
        <v>29</v>
      </c>
      <c r="I336" t="s">
        <v>155</v>
      </c>
      <c r="J336" t="s">
        <v>48</v>
      </c>
      <c r="K336" t="s">
        <v>123</v>
      </c>
      <c r="L336" t="str">
        <f>CONCATENATE("Ist jedes ",stimuli_table[[#This Row],[shape_noun]]," entweder ",stimuli_table[[#This Row],[color_adjective2]]," oder ",stimuli_table[[#This Row],[color_adjective1]],"?")</f>
        <v>Ist jedes Quadrat entweder grün oder orange?</v>
      </c>
      <c r="M336" t="s">
        <v>38</v>
      </c>
      <c r="N336" t="s">
        <v>146</v>
      </c>
      <c r="O336" t="s">
        <v>103</v>
      </c>
      <c r="P336" t="s">
        <v>27</v>
      </c>
      <c r="Q336" t="s">
        <v>48</v>
      </c>
      <c r="R336">
        <v>2</v>
      </c>
      <c r="S336" t="s">
        <v>66</v>
      </c>
      <c r="T336">
        <v>2</v>
      </c>
      <c r="U336" t="s">
        <v>36</v>
      </c>
      <c r="V336" t="s">
        <v>48</v>
      </c>
      <c r="W336">
        <v>4</v>
      </c>
      <c r="X336" t="s">
        <v>66</v>
      </c>
      <c r="Y336">
        <v>4</v>
      </c>
    </row>
    <row r="337" spans="1:25" x14ac:dyDescent="0.25">
      <c r="A337" t="s">
        <v>201</v>
      </c>
      <c r="B337">
        <v>102</v>
      </c>
      <c r="C337">
        <v>4</v>
      </c>
      <c r="D337">
        <v>8</v>
      </c>
      <c r="E337" t="s">
        <v>44</v>
      </c>
      <c r="F337" t="s">
        <v>154</v>
      </c>
      <c r="G337" t="s">
        <v>29</v>
      </c>
      <c r="H337" t="s">
        <v>29</v>
      </c>
      <c r="I337" t="s">
        <v>155</v>
      </c>
      <c r="J337" t="s">
        <v>48</v>
      </c>
      <c r="K337" t="s">
        <v>123</v>
      </c>
      <c r="L337" t="str">
        <f>CONCATENATE("Ist jedes ",stimuli_table[[#This Row],[shape_noun]]," entweder ",stimuli_table[[#This Row],[color_adjective2]]," oder ",stimuli_table[[#This Row],[color_adjective1]],"?")</f>
        <v>Ist jedes Quadrat entweder grün oder orange?</v>
      </c>
      <c r="M337" t="s">
        <v>41</v>
      </c>
      <c r="N337" t="s">
        <v>146</v>
      </c>
      <c r="O337" t="s">
        <v>103</v>
      </c>
      <c r="P337" t="s">
        <v>27</v>
      </c>
      <c r="Q337" t="s">
        <v>48</v>
      </c>
      <c r="R337">
        <v>2</v>
      </c>
      <c r="S337" t="s">
        <v>84</v>
      </c>
      <c r="T337">
        <v>2</v>
      </c>
      <c r="U337" t="s">
        <v>36</v>
      </c>
      <c r="V337" t="s">
        <v>48</v>
      </c>
      <c r="W337">
        <v>4</v>
      </c>
      <c r="X337" t="s">
        <v>84</v>
      </c>
      <c r="Y337">
        <v>4</v>
      </c>
    </row>
    <row r="338" spans="1:25" x14ac:dyDescent="0.25">
      <c r="A338" t="s">
        <v>201</v>
      </c>
      <c r="B338">
        <v>103</v>
      </c>
      <c r="C338">
        <v>1</v>
      </c>
      <c r="D338">
        <v>1</v>
      </c>
      <c r="E338" t="s">
        <v>44</v>
      </c>
      <c r="F338" t="s">
        <v>144</v>
      </c>
      <c r="G338" t="s">
        <v>29</v>
      </c>
      <c r="H338" t="s">
        <v>29</v>
      </c>
      <c r="I338" t="s">
        <v>156</v>
      </c>
      <c r="J338" t="s">
        <v>76</v>
      </c>
      <c r="K338" t="s">
        <v>101</v>
      </c>
      <c r="L338" t="str">
        <f>CONCATENATE("Ist jedes ",stimuli_table[[#This Row],[shape_noun]]," entweder ",stimuli_table[[#This Row],[color_adjective1]]," oder ",stimuli_table[[#This Row],[color_adjective2]],"?")</f>
        <v>Ist jedes Herz entweder türkis oder gelb?</v>
      </c>
      <c r="M338" t="s">
        <v>31</v>
      </c>
      <c r="N338" t="s">
        <v>146</v>
      </c>
      <c r="O338" t="s">
        <v>103</v>
      </c>
      <c r="P338" t="s">
        <v>27</v>
      </c>
      <c r="Q338" t="s">
        <v>78</v>
      </c>
      <c r="R338">
        <v>3</v>
      </c>
      <c r="S338" t="s">
        <v>59</v>
      </c>
      <c r="T338">
        <v>2</v>
      </c>
      <c r="U338" t="s">
        <v>36</v>
      </c>
      <c r="V338" t="s">
        <v>78</v>
      </c>
      <c r="W338">
        <v>4</v>
      </c>
      <c r="X338" t="s">
        <v>59</v>
      </c>
      <c r="Y338">
        <v>1</v>
      </c>
    </row>
    <row r="339" spans="1:25" x14ac:dyDescent="0.25">
      <c r="A339" t="s">
        <v>201</v>
      </c>
      <c r="B339">
        <v>103</v>
      </c>
      <c r="C339">
        <v>2</v>
      </c>
      <c r="D339">
        <v>2</v>
      </c>
      <c r="E339" t="s">
        <v>44</v>
      </c>
      <c r="F339" t="s">
        <v>147</v>
      </c>
      <c r="G339" t="s">
        <v>29</v>
      </c>
      <c r="H339" t="s">
        <v>29</v>
      </c>
      <c r="I339" t="s">
        <v>156</v>
      </c>
      <c r="J339" t="s">
        <v>76</v>
      </c>
      <c r="K339" t="s">
        <v>101</v>
      </c>
      <c r="L339" t="str">
        <f>CONCATENATE("Ist jedes ",stimuli_table[[#This Row],[shape_noun]]," entweder ",stimuli_table[[#This Row],[color_adjective1]]," oder ",stimuli_table[[#This Row],[color_adjective2]],"?")</f>
        <v>Ist jedes Herz entweder türkis oder gelb?</v>
      </c>
      <c r="M339" t="s">
        <v>38</v>
      </c>
      <c r="N339" t="s">
        <v>146</v>
      </c>
      <c r="O339" t="s">
        <v>103</v>
      </c>
      <c r="P339" t="s">
        <v>50</v>
      </c>
      <c r="Q339" t="s">
        <v>78</v>
      </c>
      <c r="R339">
        <v>0</v>
      </c>
      <c r="S339" t="s">
        <v>59</v>
      </c>
      <c r="T339">
        <v>5</v>
      </c>
      <c r="U339" t="s">
        <v>36</v>
      </c>
      <c r="V339" t="s">
        <v>78</v>
      </c>
      <c r="W339">
        <v>4</v>
      </c>
      <c r="X339" t="s">
        <v>59</v>
      </c>
      <c r="Y339">
        <v>1</v>
      </c>
    </row>
    <row r="340" spans="1:25" x14ac:dyDescent="0.25">
      <c r="A340" t="s">
        <v>201</v>
      </c>
      <c r="B340">
        <v>103</v>
      </c>
      <c r="C340">
        <v>3</v>
      </c>
      <c r="D340">
        <v>3</v>
      </c>
      <c r="E340" t="s">
        <v>44</v>
      </c>
      <c r="F340" t="s">
        <v>148</v>
      </c>
      <c r="G340" t="s">
        <v>29</v>
      </c>
      <c r="H340" t="s">
        <v>29</v>
      </c>
      <c r="I340" t="s">
        <v>156</v>
      </c>
      <c r="J340" t="s">
        <v>76</v>
      </c>
      <c r="K340" t="s">
        <v>101</v>
      </c>
      <c r="L340" t="str">
        <f>CONCATENATE("Ist jedes ",stimuli_table[[#This Row],[shape_noun]]," entweder ",stimuli_table[[#This Row],[color_adjective1]]," oder ",stimuli_table[[#This Row],[color_adjective2]],"?")</f>
        <v>Ist jedes Herz entweder türkis oder gelb?</v>
      </c>
      <c r="M340" t="s">
        <v>38</v>
      </c>
      <c r="N340" t="s">
        <v>146</v>
      </c>
      <c r="O340" t="s">
        <v>103</v>
      </c>
      <c r="P340" t="s">
        <v>50</v>
      </c>
      <c r="Q340" t="s">
        <v>78</v>
      </c>
      <c r="R340">
        <v>3</v>
      </c>
      <c r="S340" t="s">
        <v>59</v>
      </c>
      <c r="T340">
        <v>2</v>
      </c>
      <c r="U340" t="s">
        <v>36</v>
      </c>
      <c r="V340" t="s">
        <v>78</v>
      </c>
      <c r="W340">
        <v>4</v>
      </c>
      <c r="X340" t="s">
        <v>59</v>
      </c>
      <c r="Y340">
        <v>1</v>
      </c>
    </row>
    <row r="341" spans="1:25" x14ac:dyDescent="0.25">
      <c r="A341" t="s">
        <v>201</v>
      </c>
      <c r="B341">
        <v>103</v>
      </c>
      <c r="C341">
        <v>4</v>
      </c>
      <c r="D341">
        <v>4</v>
      </c>
      <c r="E341" t="s">
        <v>44</v>
      </c>
      <c r="F341" t="s">
        <v>149</v>
      </c>
      <c r="G341" t="s">
        <v>29</v>
      </c>
      <c r="H341" t="s">
        <v>29</v>
      </c>
      <c r="I341" t="s">
        <v>156</v>
      </c>
      <c r="J341" t="s">
        <v>76</v>
      </c>
      <c r="K341" t="s">
        <v>101</v>
      </c>
      <c r="L341" t="str">
        <f>CONCATENATE("Ist jedes ",stimuli_table[[#This Row],[shape_noun]]," entweder ",stimuli_table[[#This Row],[color_adjective1]]," oder ",stimuli_table[[#This Row],[color_adjective2]],"?")</f>
        <v>Ist jedes Herz entweder türkis oder gelb?</v>
      </c>
      <c r="M341" t="s">
        <v>41</v>
      </c>
      <c r="N341" t="s">
        <v>146</v>
      </c>
      <c r="O341" t="s">
        <v>103</v>
      </c>
      <c r="P341" t="s">
        <v>50</v>
      </c>
      <c r="Q341" t="s">
        <v>84</v>
      </c>
      <c r="R341">
        <v>3</v>
      </c>
      <c r="S341" t="s">
        <v>59</v>
      </c>
      <c r="T341">
        <v>2</v>
      </c>
      <c r="U341" t="s">
        <v>36</v>
      </c>
      <c r="V341" t="s">
        <v>84</v>
      </c>
      <c r="W341">
        <v>4</v>
      </c>
      <c r="X341" t="s">
        <v>59</v>
      </c>
      <c r="Y341">
        <v>1</v>
      </c>
    </row>
    <row r="342" spans="1:25" x14ac:dyDescent="0.25">
      <c r="A342" t="s">
        <v>201</v>
      </c>
      <c r="B342">
        <v>103</v>
      </c>
      <c r="C342">
        <v>1</v>
      </c>
      <c r="D342">
        <v>5</v>
      </c>
      <c r="E342" t="s">
        <v>44</v>
      </c>
      <c r="F342" t="s">
        <v>150</v>
      </c>
      <c r="G342" t="s">
        <v>29</v>
      </c>
      <c r="H342" t="s">
        <v>29</v>
      </c>
      <c r="I342" t="s">
        <v>156</v>
      </c>
      <c r="J342" t="s">
        <v>76</v>
      </c>
      <c r="K342" t="s">
        <v>101</v>
      </c>
      <c r="L342" t="str">
        <f>CONCATENATE("Ist jedes ",stimuli_table[[#This Row],[shape_noun]]," entweder ",stimuli_table[[#This Row],[color_adjective2]]," oder ",stimuli_table[[#This Row],[color_adjective1]],"?")</f>
        <v>Ist jedes Herz entweder gelb oder türkis?</v>
      </c>
      <c r="M342" t="s">
        <v>31</v>
      </c>
      <c r="N342" t="s">
        <v>151</v>
      </c>
      <c r="O342" t="s">
        <v>103</v>
      </c>
      <c r="P342" t="s">
        <v>27</v>
      </c>
      <c r="Q342" t="s">
        <v>78</v>
      </c>
      <c r="R342">
        <v>3</v>
      </c>
      <c r="S342" t="s">
        <v>59</v>
      </c>
      <c r="T342">
        <v>2</v>
      </c>
      <c r="U342" t="s">
        <v>36</v>
      </c>
      <c r="V342" t="s">
        <v>78</v>
      </c>
      <c r="W342">
        <v>4</v>
      </c>
      <c r="X342" t="s">
        <v>59</v>
      </c>
      <c r="Y342">
        <v>1</v>
      </c>
    </row>
    <row r="343" spans="1:25" x14ac:dyDescent="0.25">
      <c r="A343" t="s">
        <v>201</v>
      </c>
      <c r="B343">
        <v>103</v>
      </c>
      <c r="C343">
        <v>2</v>
      </c>
      <c r="D343">
        <v>6</v>
      </c>
      <c r="E343" t="s">
        <v>44</v>
      </c>
      <c r="F343" t="s">
        <v>152</v>
      </c>
      <c r="G343" t="s">
        <v>29</v>
      </c>
      <c r="H343" t="s">
        <v>29</v>
      </c>
      <c r="I343" t="s">
        <v>156</v>
      </c>
      <c r="J343" t="s">
        <v>76</v>
      </c>
      <c r="K343" t="s">
        <v>101</v>
      </c>
      <c r="L343" t="str">
        <f>CONCATENATE("Ist jedes ",stimuli_table[[#This Row],[shape_noun]]," entweder ",stimuli_table[[#This Row],[color_adjective2]]," oder ",stimuli_table[[#This Row],[color_adjective1]],"?")</f>
        <v>Ist jedes Herz entweder gelb oder türkis?</v>
      </c>
      <c r="M343" t="s">
        <v>38</v>
      </c>
      <c r="N343" t="s">
        <v>151</v>
      </c>
      <c r="O343" t="s">
        <v>103</v>
      </c>
      <c r="P343" t="s">
        <v>50</v>
      </c>
      <c r="Q343" t="s">
        <v>78</v>
      </c>
      <c r="R343">
        <v>0</v>
      </c>
      <c r="S343" t="s">
        <v>59</v>
      </c>
      <c r="T343">
        <v>5</v>
      </c>
      <c r="U343" t="s">
        <v>36</v>
      </c>
      <c r="V343" t="s">
        <v>78</v>
      </c>
      <c r="W343">
        <v>4</v>
      </c>
      <c r="X343" t="s">
        <v>59</v>
      </c>
      <c r="Y343">
        <v>1</v>
      </c>
    </row>
    <row r="344" spans="1:25" x14ac:dyDescent="0.25">
      <c r="A344" t="s">
        <v>201</v>
      </c>
      <c r="B344">
        <v>103</v>
      </c>
      <c r="C344">
        <v>3</v>
      </c>
      <c r="D344">
        <v>7</v>
      </c>
      <c r="E344" t="s">
        <v>44</v>
      </c>
      <c r="F344" t="s">
        <v>153</v>
      </c>
      <c r="G344" t="s">
        <v>29</v>
      </c>
      <c r="H344" t="s">
        <v>29</v>
      </c>
      <c r="I344" t="s">
        <v>156</v>
      </c>
      <c r="J344" t="s">
        <v>76</v>
      </c>
      <c r="K344" t="s">
        <v>101</v>
      </c>
      <c r="L344" t="str">
        <f>CONCATENATE("Ist jedes ",stimuli_table[[#This Row],[shape_noun]]," entweder ",stimuli_table[[#This Row],[color_adjective2]]," oder ",stimuli_table[[#This Row],[color_adjective1]],"?")</f>
        <v>Ist jedes Herz entweder gelb oder türkis?</v>
      </c>
      <c r="M344" t="s">
        <v>38</v>
      </c>
      <c r="N344" t="s">
        <v>151</v>
      </c>
      <c r="O344" t="s">
        <v>103</v>
      </c>
      <c r="P344" t="s">
        <v>50</v>
      </c>
      <c r="Q344" t="s">
        <v>78</v>
      </c>
      <c r="R344">
        <v>3</v>
      </c>
      <c r="S344" t="s">
        <v>59</v>
      </c>
      <c r="T344">
        <v>2</v>
      </c>
      <c r="U344" t="s">
        <v>36</v>
      </c>
      <c r="V344" t="s">
        <v>78</v>
      </c>
      <c r="W344">
        <v>4</v>
      </c>
      <c r="X344" t="s">
        <v>59</v>
      </c>
      <c r="Y344">
        <v>1</v>
      </c>
    </row>
    <row r="345" spans="1:25" x14ac:dyDescent="0.25">
      <c r="A345" t="s">
        <v>201</v>
      </c>
      <c r="B345">
        <v>103</v>
      </c>
      <c r="C345">
        <v>4</v>
      </c>
      <c r="D345">
        <v>8</v>
      </c>
      <c r="E345" t="s">
        <v>44</v>
      </c>
      <c r="F345" t="s">
        <v>154</v>
      </c>
      <c r="G345" t="s">
        <v>29</v>
      </c>
      <c r="H345" t="s">
        <v>29</v>
      </c>
      <c r="I345" t="s">
        <v>156</v>
      </c>
      <c r="J345" t="s">
        <v>76</v>
      </c>
      <c r="K345" t="s">
        <v>101</v>
      </c>
      <c r="L345" t="str">
        <f>CONCATENATE("Ist jedes ",stimuli_table[[#This Row],[shape_noun]]," entweder ",stimuli_table[[#This Row],[color_adjective2]]," oder ",stimuli_table[[#This Row],[color_adjective1]],"?")</f>
        <v>Ist jedes Herz entweder gelb oder türkis?</v>
      </c>
      <c r="M345" t="s">
        <v>41</v>
      </c>
      <c r="N345" t="s">
        <v>151</v>
      </c>
      <c r="O345" t="s">
        <v>103</v>
      </c>
      <c r="P345" t="s">
        <v>50</v>
      </c>
      <c r="Q345" t="s">
        <v>84</v>
      </c>
      <c r="R345">
        <v>3</v>
      </c>
      <c r="S345" t="s">
        <v>59</v>
      </c>
      <c r="T345">
        <v>2</v>
      </c>
      <c r="U345" t="s">
        <v>36</v>
      </c>
      <c r="V345" t="s">
        <v>84</v>
      </c>
      <c r="W345">
        <v>4</v>
      </c>
      <c r="X345" t="s">
        <v>59</v>
      </c>
      <c r="Y345">
        <v>1</v>
      </c>
    </row>
    <row r="346" spans="1:25" x14ac:dyDescent="0.25">
      <c r="A346" t="s">
        <v>201</v>
      </c>
      <c r="B346">
        <v>104</v>
      </c>
      <c r="C346">
        <v>1</v>
      </c>
      <c r="D346">
        <v>1</v>
      </c>
      <c r="E346" t="s">
        <v>44</v>
      </c>
      <c r="F346" t="s">
        <v>144</v>
      </c>
      <c r="G346" t="s">
        <v>29</v>
      </c>
      <c r="H346" t="s">
        <v>29</v>
      </c>
      <c r="I346" t="s">
        <v>157</v>
      </c>
      <c r="J346" t="s">
        <v>51</v>
      </c>
      <c r="K346" t="s">
        <v>82</v>
      </c>
      <c r="L346" t="str">
        <f>CONCATENATE("Ist jedes ",stimuli_table[[#This Row],[shape_noun]]," entweder ",stimuli_table[[#This Row],[color_adjective1]]," oder ",stimuli_table[[#This Row],[color_adjective2]],"?")</f>
        <v>Ist jedes Kreuz entweder pink oder schwarz?</v>
      </c>
      <c r="M346" t="s">
        <v>31</v>
      </c>
      <c r="N346" t="s">
        <v>151</v>
      </c>
      <c r="O346" t="s">
        <v>103</v>
      </c>
      <c r="P346" t="s">
        <v>50</v>
      </c>
      <c r="Q346" t="s">
        <v>51</v>
      </c>
      <c r="R346">
        <v>4</v>
      </c>
      <c r="S346" t="s">
        <v>84</v>
      </c>
      <c r="T346">
        <v>3</v>
      </c>
      <c r="U346" t="s">
        <v>27</v>
      </c>
      <c r="V346" t="s">
        <v>51</v>
      </c>
      <c r="W346">
        <v>4</v>
      </c>
      <c r="X346" t="s">
        <v>84</v>
      </c>
      <c r="Y346">
        <v>5</v>
      </c>
    </row>
    <row r="347" spans="1:25" x14ac:dyDescent="0.25">
      <c r="A347" t="s">
        <v>201</v>
      </c>
      <c r="B347">
        <v>104</v>
      </c>
      <c r="C347">
        <v>2</v>
      </c>
      <c r="D347">
        <v>2</v>
      </c>
      <c r="E347" t="s">
        <v>44</v>
      </c>
      <c r="F347" t="s">
        <v>147</v>
      </c>
      <c r="G347" t="s">
        <v>29</v>
      </c>
      <c r="H347" t="s">
        <v>29</v>
      </c>
      <c r="I347" t="s">
        <v>157</v>
      </c>
      <c r="J347" t="s">
        <v>51</v>
      </c>
      <c r="K347" t="s">
        <v>82</v>
      </c>
      <c r="L347" t="str">
        <f>CONCATENATE("Ist jedes ",stimuli_table[[#This Row],[shape_noun]]," entweder ",stimuli_table[[#This Row],[color_adjective1]]," oder ",stimuli_table[[#This Row],[color_adjective2]],"?")</f>
        <v>Ist jedes Kreuz entweder pink oder schwarz?</v>
      </c>
      <c r="M347" t="s">
        <v>38</v>
      </c>
      <c r="N347" t="s">
        <v>151</v>
      </c>
      <c r="O347" t="s">
        <v>103</v>
      </c>
      <c r="P347" t="s">
        <v>52</v>
      </c>
      <c r="Q347" t="s">
        <v>51</v>
      </c>
      <c r="R347">
        <v>0</v>
      </c>
      <c r="S347" t="s">
        <v>84</v>
      </c>
      <c r="T347">
        <v>7</v>
      </c>
      <c r="U347" t="s">
        <v>27</v>
      </c>
      <c r="V347" t="s">
        <v>51</v>
      </c>
      <c r="W347">
        <v>4</v>
      </c>
      <c r="X347" t="s">
        <v>84</v>
      </c>
      <c r="Y347">
        <v>5</v>
      </c>
    </row>
    <row r="348" spans="1:25" x14ac:dyDescent="0.25">
      <c r="A348" t="s">
        <v>201</v>
      </c>
      <c r="B348">
        <v>104</v>
      </c>
      <c r="C348">
        <v>3</v>
      </c>
      <c r="D348">
        <v>3</v>
      </c>
      <c r="E348" t="s">
        <v>44</v>
      </c>
      <c r="F348" t="s">
        <v>148</v>
      </c>
      <c r="G348" t="s">
        <v>29</v>
      </c>
      <c r="H348" t="s">
        <v>29</v>
      </c>
      <c r="I348" t="s">
        <v>157</v>
      </c>
      <c r="J348" t="s">
        <v>51</v>
      </c>
      <c r="K348" t="s">
        <v>82</v>
      </c>
      <c r="L348" t="str">
        <f>CONCATENATE("Ist jedes ",stimuli_table[[#This Row],[shape_noun]]," entweder ",stimuli_table[[#This Row],[color_adjective1]]," oder ",stimuli_table[[#This Row],[color_adjective2]],"?")</f>
        <v>Ist jedes Kreuz entweder pink oder schwarz?</v>
      </c>
      <c r="M348" t="s">
        <v>38</v>
      </c>
      <c r="N348" t="s">
        <v>151</v>
      </c>
      <c r="O348" t="s">
        <v>103</v>
      </c>
      <c r="P348" t="s">
        <v>52</v>
      </c>
      <c r="Q348" t="s">
        <v>51</v>
      </c>
      <c r="R348">
        <v>4</v>
      </c>
      <c r="S348" t="s">
        <v>84</v>
      </c>
      <c r="T348">
        <v>3</v>
      </c>
      <c r="U348" t="s">
        <v>27</v>
      </c>
      <c r="V348" t="s">
        <v>51</v>
      </c>
      <c r="W348">
        <v>4</v>
      </c>
      <c r="X348" t="s">
        <v>84</v>
      </c>
      <c r="Y348">
        <v>5</v>
      </c>
    </row>
    <row r="349" spans="1:25" x14ac:dyDescent="0.25">
      <c r="A349" t="s">
        <v>201</v>
      </c>
      <c r="B349">
        <v>104</v>
      </c>
      <c r="C349">
        <v>4</v>
      </c>
      <c r="D349">
        <v>4</v>
      </c>
      <c r="E349" t="s">
        <v>44</v>
      </c>
      <c r="F349" t="s">
        <v>149</v>
      </c>
      <c r="G349" t="s">
        <v>29</v>
      </c>
      <c r="H349" t="s">
        <v>29</v>
      </c>
      <c r="I349" t="s">
        <v>157</v>
      </c>
      <c r="J349" t="s">
        <v>51</v>
      </c>
      <c r="K349" t="s">
        <v>82</v>
      </c>
      <c r="L349" t="str">
        <f>CONCATENATE("Ist jedes ",stimuli_table[[#This Row],[shape_noun]]," entweder ",stimuli_table[[#This Row],[color_adjective1]]," oder ",stimuli_table[[#This Row],[color_adjective2]],"?")</f>
        <v>Ist jedes Kreuz entweder pink oder schwarz?</v>
      </c>
      <c r="M349" t="s">
        <v>41</v>
      </c>
      <c r="N349" t="s">
        <v>151</v>
      </c>
      <c r="O349" t="s">
        <v>103</v>
      </c>
      <c r="P349" t="s">
        <v>52</v>
      </c>
      <c r="Q349" t="s">
        <v>51</v>
      </c>
      <c r="R349">
        <v>4</v>
      </c>
      <c r="S349" t="s">
        <v>58</v>
      </c>
      <c r="T349">
        <v>3</v>
      </c>
      <c r="U349" t="s">
        <v>27</v>
      </c>
      <c r="V349" t="s">
        <v>51</v>
      </c>
      <c r="W349">
        <v>4</v>
      </c>
      <c r="X349" t="s">
        <v>58</v>
      </c>
      <c r="Y349">
        <v>5</v>
      </c>
    </row>
    <row r="350" spans="1:25" x14ac:dyDescent="0.25">
      <c r="A350" t="s">
        <v>201</v>
      </c>
      <c r="B350">
        <v>104</v>
      </c>
      <c r="C350">
        <v>1</v>
      </c>
      <c r="D350">
        <v>5</v>
      </c>
      <c r="E350" t="s">
        <v>44</v>
      </c>
      <c r="F350" t="s">
        <v>150</v>
      </c>
      <c r="G350" t="s">
        <v>29</v>
      </c>
      <c r="H350" t="s">
        <v>29</v>
      </c>
      <c r="I350" t="s">
        <v>157</v>
      </c>
      <c r="J350" t="s">
        <v>51</v>
      </c>
      <c r="K350" t="s">
        <v>82</v>
      </c>
      <c r="L350" t="str">
        <f>CONCATENATE("Ist jedes ",stimuli_table[[#This Row],[shape_noun]]," entweder ",stimuli_table[[#This Row],[color_adjective2]]," oder ",stimuli_table[[#This Row],[color_adjective1]],"?")</f>
        <v>Ist jedes Kreuz entweder schwarz oder pink?</v>
      </c>
      <c r="M350" t="s">
        <v>31</v>
      </c>
      <c r="N350" t="s">
        <v>146</v>
      </c>
      <c r="O350" t="s">
        <v>103</v>
      </c>
      <c r="P350" t="s">
        <v>50</v>
      </c>
      <c r="Q350" t="s">
        <v>51</v>
      </c>
      <c r="R350">
        <v>4</v>
      </c>
      <c r="S350" t="s">
        <v>84</v>
      </c>
      <c r="T350">
        <v>3</v>
      </c>
      <c r="U350" t="s">
        <v>27</v>
      </c>
      <c r="V350" t="s">
        <v>51</v>
      </c>
      <c r="W350">
        <v>4</v>
      </c>
      <c r="X350" t="s">
        <v>84</v>
      </c>
      <c r="Y350">
        <v>5</v>
      </c>
    </row>
    <row r="351" spans="1:25" x14ac:dyDescent="0.25">
      <c r="A351" t="s">
        <v>201</v>
      </c>
      <c r="B351">
        <v>104</v>
      </c>
      <c r="C351">
        <v>2</v>
      </c>
      <c r="D351">
        <v>6</v>
      </c>
      <c r="E351" t="s">
        <v>44</v>
      </c>
      <c r="F351" t="s">
        <v>152</v>
      </c>
      <c r="G351" t="s">
        <v>29</v>
      </c>
      <c r="H351" t="s">
        <v>29</v>
      </c>
      <c r="I351" t="s">
        <v>157</v>
      </c>
      <c r="J351" t="s">
        <v>51</v>
      </c>
      <c r="K351" t="s">
        <v>82</v>
      </c>
      <c r="L351" t="str">
        <f>CONCATENATE("Ist jedes ",stimuli_table[[#This Row],[shape_noun]]," entweder ",stimuli_table[[#This Row],[color_adjective2]]," oder ",stimuli_table[[#This Row],[color_adjective1]],"?")</f>
        <v>Ist jedes Kreuz entweder schwarz oder pink?</v>
      </c>
      <c r="M351" t="s">
        <v>38</v>
      </c>
      <c r="N351" t="s">
        <v>146</v>
      </c>
      <c r="O351" t="s">
        <v>103</v>
      </c>
      <c r="P351" t="s">
        <v>52</v>
      </c>
      <c r="Q351" t="s">
        <v>51</v>
      </c>
      <c r="R351">
        <v>0</v>
      </c>
      <c r="S351" t="s">
        <v>84</v>
      </c>
      <c r="T351">
        <v>7</v>
      </c>
      <c r="U351" t="s">
        <v>27</v>
      </c>
      <c r="V351" t="s">
        <v>51</v>
      </c>
      <c r="W351">
        <v>4</v>
      </c>
      <c r="X351" t="s">
        <v>84</v>
      </c>
      <c r="Y351">
        <v>5</v>
      </c>
    </row>
    <row r="352" spans="1:25" x14ac:dyDescent="0.25">
      <c r="A352" t="s">
        <v>201</v>
      </c>
      <c r="B352">
        <v>104</v>
      </c>
      <c r="C352">
        <v>3</v>
      </c>
      <c r="D352">
        <v>7</v>
      </c>
      <c r="E352" t="s">
        <v>44</v>
      </c>
      <c r="F352" t="s">
        <v>153</v>
      </c>
      <c r="G352" t="s">
        <v>29</v>
      </c>
      <c r="H352" t="s">
        <v>29</v>
      </c>
      <c r="I352" t="s">
        <v>157</v>
      </c>
      <c r="J352" t="s">
        <v>51</v>
      </c>
      <c r="K352" t="s">
        <v>82</v>
      </c>
      <c r="L352" t="str">
        <f>CONCATENATE("Ist jedes ",stimuli_table[[#This Row],[shape_noun]]," entweder ",stimuli_table[[#This Row],[color_adjective2]]," oder ",stimuli_table[[#This Row],[color_adjective1]],"?")</f>
        <v>Ist jedes Kreuz entweder schwarz oder pink?</v>
      </c>
      <c r="M352" t="s">
        <v>38</v>
      </c>
      <c r="N352" t="s">
        <v>146</v>
      </c>
      <c r="O352" t="s">
        <v>103</v>
      </c>
      <c r="P352" t="s">
        <v>52</v>
      </c>
      <c r="Q352" t="s">
        <v>51</v>
      </c>
      <c r="R352">
        <v>4</v>
      </c>
      <c r="S352" t="s">
        <v>84</v>
      </c>
      <c r="T352">
        <v>3</v>
      </c>
      <c r="U352" t="s">
        <v>27</v>
      </c>
      <c r="V352" t="s">
        <v>51</v>
      </c>
      <c r="W352">
        <v>4</v>
      </c>
      <c r="X352" t="s">
        <v>84</v>
      </c>
      <c r="Y352">
        <v>5</v>
      </c>
    </row>
    <row r="353" spans="1:25" x14ac:dyDescent="0.25">
      <c r="A353" t="s">
        <v>201</v>
      </c>
      <c r="B353">
        <v>104</v>
      </c>
      <c r="C353">
        <v>4</v>
      </c>
      <c r="D353">
        <v>8</v>
      </c>
      <c r="E353" t="s">
        <v>44</v>
      </c>
      <c r="F353" t="s">
        <v>154</v>
      </c>
      <c r="G353" t="s">
        <v>29</v>
      </c>
      <c r="H353" t="s">
        <v>29</v>
      </c>
      <c r="I353" t="s">
        <v>157</v>
      </c>
      <c r="J353" t="s">
        <v>51</v>
      </c>
      <c r="K353" t="s">
        <v>82</v>
      </c>
      <c r="L353" t="str">
        <f>CONCATENATE("Ist jedes ",stimuli_table[[#This Row],[shape_noun]]," entweder ",stimuli_table[[#This Row],[color_adjective2]]," oder ",stimuli_table[[#This Row],[color_adjective1]],"?")</f>
        <v>Ist jedes Kreuz entweder schwarz oder pink?</v>
      </c>
      <c r="M353" t="s">
        <v>41</v>
      </c>
      <c r="N353" t="s">
        <v>146</v>
      </c>
      <c r="O353" t="s">
        <v>103</v>
      </c>
      <c r="P353" t="s">
        <v>52</v>
      </c>
      <c r="Q353" t="s">
        <v>51</v>
      </c>
      <c r="R353">
        <v>4</v>
      </c>
      <c r="S353" t="s">
        <v>58</v>
      </c>
      <c r="T353">
        <v>3</v>
      </c>
      <c r="U353" t="s">
        <v>27</v>
      </c>
      <c r="V353" t="s">
        <v>51</v>
      </c>
      <c r="W353">
        <v>3</v>
      </c>
      <c r="X353" t="s">
        <v>58</v>
      </c>
      <c r="Y353">
        <v>3</v>
      </c>
    </row>
    <row r="354" spans="1:25" x14ac:dyDescent="0.25">
      <c r="A354" t="s">
        <v>201</v>
      </c>
      <c r="B354">
        <v>105</v>
      </c>
      <c r="C354">
        <v>1</v>
      </c>
      <c r="D354">
        <v>1</v>
      </c>
      <c r="E354" t="s">
        <v>44</v>
      </c>
      <c r="F354" t="s">
        <v>144</v>
      </c>
      <c r="G354" t="s">
        <v>29</v>
      </c>
      <c r="H354" t="s">
        <v>29</v>
      </c>
      <c r="I354" t="s">
        <v>158</v>
      </c>
      <c r="J354" t="s">
        <v>82</v>
      </c>
      <c r="K354" t="s">
        <v>56</v>
      </c>
      <c r="L354" t="str">
        <f>CONCATENATE("Ist jedes ",stimuli_table[[#This Row],[shape_noun]]," entweder ",stimuli_table[[#This Row],[color_adjective1]]," oder ",stimuli_table[[#This Row],[color_adjective2]],"?")</f>
        <v>Ist jedes Kreis entweder schwarz oder grau?</v>
      </c>
      <c r="M354" t="s">
        <v>31</v>
      </c>
      <c r="N354" t="s">
        <v>146</v>
      </c>
      <c r="O354" t="s">
        <v>103</v>
      </c>
      <c r="P354" t="s">
        <v>27</v>
      </c>
      <c r="Q354" t="s">
        <v>84</v>
      </c>
      <c r="R354">
        <v>6</v>
      </c>
      <c r="S354" t="s">
        <v>58</v>
      </c>
      <c r="T354">
        <v>2</v>
      </c>
      <c r="U354" t="s">
        <v>36</v>
      </c>
      <c r="V354" t="s">
        <v>84</v>
      </c>
      <c r="W354">
        <v>4</v>
      </c>
      <c r="X354" t="s">
        <v>58</v>
      </c>
      <c r="Y354">
        <v>1</v>
      </c>
    </row>
    <row r="355" spans="1:25" x14ac:dyDescent="0.25">
      <c r="A355" t="s">
        <v>201</v>
      </c>
      <c r="B355">
        <v>105</v>
      </c>
      <c r="C355">
        <v>2</v>
      </c>
      <c r="D355">
        <v>2</v>
      </c>
      <c r="E355" t="s">
        <v>44</v>
      </c>
      <c r="F355" t="s">
        <v>147</v>
      </c>
      <c r="G355" t="s">
        <v>29</v>
      </c>
      <c r="H355" t="s">
        <v>29</v>
      </c>
      <c r="I355" t="s">
        <v>158</v>
      </c>
      <c r="J355" t="s">
        <v>82</v>
      </c>
      <c r="K355" t="s">
        <v>56</v>
      </c>
      <c r="L355" t="str">
        <f>CONCATENATE("Ist jedes ",stimuli_table[[#This Row],[shape_noun]]," entweder ",stimuli_table[[#This Row],[color_adjective1]]," oder ",stimuli_table[[#This Row],[color_adjective2]],"?")</f>
        <v>Ist jedes Kreis entweder schwarz oder grau?</v>
      </c>
      <c r="M355" t="s">
        <v>38</v>
      </c>
      <c r="N355" t="s">
        <v>146</v>
      </c>
      <c r="O355" t="s">
        <v>103</v>
      </c>
      <c r="P355" t="s">
        <v>33</v>
      </c>
      <c r="Q355" t="s">
        <v>84</v>
      </c>
      <c r="R355">
        <v>0</v>
      </c>
      <c r="S355" t="s">
        <v>58</v>
      </c>
      <c r="T355">
        <v>8</v>
      </c>
      <c r="U355" t="s">
        <v>36</v>
      </c>
      <c r="V355" t="s">
        <v>84</v>
      </c>
      <c r="W355">
        <v>4</v>
      </c>
      <c r="X355" t="s">
        <v>58</v>
      </c>
      <c r="Y355">
        <v>1</v>
      </c>
    </row>
    <row r="356" spans="1:25" x14ac:dyDescent="0.25">
      <c r="A356" t="s">
        <v>201</v>
      </c>
      <c r="B356">
        <v>105</v>
      </c>
      <c r="C356">
        <v>3</v>
      </c>
      <c r="D356">
        <v>3</v>
      </c>
      <c r="E356" t="s">
        <v>44</v>
      </c>
      <c r="F356" t="s">
        <v>148</v>
      </c>
      <c r="G356" t="s">
        <v>29</v>
      </c>
      <c r="H356" t="s">
        <v>29</v>
      </c>
      <c r="I356" t="s">
        <v>158</v>
      </c>
      <c r="J356" t="s">
        <v>82</v>
      </c>
      <c r="K356" t="s">
        <v>56</v>
      </c>
      <c r="L356" t="str">
        <f>CONCATENATE("Ist jedes ",stimuli_table[[#This Row],[shape_noun]]," entweder ",stimuli_table[[#This Row],[color_adjective1]]," oder ",stimuli_table[[#This Row],[color_adjective2]],"?")</f>
        <v>Ist jedes Kreis entweder schwarz oder grau?</v>
      </c>
      <c r="M356" t="s">
        <v>38</v>
      </c>
      <c r="N356" t="s">
        <v>146</v>
      </c>
      <c r="O356" t="s">
        <v>103</v>
      </c>
      <c r="P356" t="s">
        <v>33</v>
      </c>
      <c r="Q356" t="s">
        <v>84</v>
      </c>
      <c r="R356">
        <v>6</v>
      </c>
      <c r="S356" t="s">
        <v>58</v>
      </c>
      <c r="T356">
        <v>2</v>
      </c>
      <c r="U356" t="s">
        <v>36</v>
      </c>
      <c r="V356" t="s">
        <v>84</v>
      </c>
      <c r="W356">
        <v>4</v>
      </c>
      <c r="X356" t="s">
        <v>58</v>
      </c>
      <c r="Y356">
        <v>1</v>
      </c>
    </row>
    <row r="357" spans="1:25" x14ac:dyDescent="0.25">
      <c r="A357" t="s">
        <v>201</v>
      </c>
      <c r="B357">
        <v>105</v>
      </c>
      <c r="C357">
        <v>4</v>
      </c>
      <c r="D357">
        <v>4</v>
      </c>
      <c r="E357" t="s">
        <v>44</v>
      </c>
      <c r="F357" t="s">
        <v>149</v>
      </c>
      <c r="G357" t="s">
        <v>29</v>
      </c>
      <c r="H357" t="s">
        <v>29</v>
      </c>
      <c r="I357" t="s">
        <v>158</v>
      </c>
      <c r="J357" t="s">
        <v>82</v>
      </c>
      <c r="K357" t="s">
        <v>56</v>
      </c>
      <c r="L357" t="str">
        <f>CONCATENATE("Ist jedes ",stimuli_table[[#This Row],[shape_noun]]," entweder ",stimuli_table[[#This Row],[color_adjective1]]," oder ",stimuli_table[[#This Row],[color_adjective2]],"?")</f>
        <v>Ist jedes Kreis entweder schwarz oder grau?</v>
      </c>
      <c r="M357" t="s">
        <v>41</v>
      </c>
      <c r="N357" t="s">
        <v>146</v>
      </c>
      <c r="O357" t="s">
        <v>103</v>
      </c>
      <c r="P357" t="s">
        <v>33</v>
      </c>
      <c r="Q357" t="s">
        <v>84</v>
      </c>
      <c r="R357">
        <v>6</v>
      </c>
      <c r="S357" t="s">
        <v>59</v>
      </c>
      <c r="T357">
        <v>2</v>
      </c>
      <c r="U357" t="s">
        <v>36</v>
      </c>
      <c r="V357" t="s">
        <v>84</v>
      </c>
      <c r="W357">
        <v>4</v>
      </c>
      <c r="X357" t="s">
        <v>59</v>
      </c>
      <c r="Y357">
        <v>1</v>
      </c>
    </row>
    <row r="358" spans="1:25" x14ac:dyDescent="0.25">
      <c r="A358" t="s">
        <v>201</v>
      </c>
      <c r="B358">
        <v>105</v>
      </c>
      <c r="C358">
        <v>1</v>
      </c>
      <c r="D358">
        <v>5</v>
      </c>
      <c r="E358" t="s">
        <v>44</v>
      </c>
      <c r="F358" t="s">
        <v>150</v>
      </c>
      <c r="G358" t="s">
        <v>29</v>
      </c>
      <c r="H358" t="s">
        <v>29</v>
      </c>
      <c r="I358" t="s">
        <v>158</v>
      </c>
      <c r="J358" t="s">
        <v>82</v>
      </c>
      <c r="K358" t="s">
        <v>56</v>
      </c>
      <c r="L358" t="str">
        <f>CONCATENATE("Ist jedes ",stimuli_table[[#This Row],[shape_noun]]," entweder ",stimuli_table[[#This Row],[color_adjective2]]," oder ",stimuli_table[[#This Row],[color_adjective1]],"?")</f>
        <v>Ist jedes Kreis entweder grau oder schwarz?</v>
      </c>
      <c r="M358" t="s">
        <v>31</v>
      </c>
      <c r="N358" t="s">
        <v>151</v>
      </c>
      <c r="O358" t="s">
        <v>103</v>
      </c>
      <c r="P358" t="s">
        <v>27</v>
      </c>
      <c r="Q358" t="s">
        <v>84</v>
      </c>
      <c r="R358">
        <v>6</v>
      </c>
      <c r="S358" t="s">
        <v>58</v>
      </c>
      <c r="T358">
        <v>2</v>
      </c>
      <c r="U358" t="s">
        <v>36</v>
      </c>
      <c r="V358" t="s">
        <v>84</v>
      </c>
      <c r="W358">
        <v>4</v>
      </c>
      <c r="X358" t="s">
        <v>58</v>
      </c>
      <c r="Y358">
        <v>1</v>
      </c>
    </row>
    <row r="359" spans="1:25" x14ac:dyDescent="0.25">
      <c r="A359" t="s">
        <v>201</v>
      </c>
      <c r="B359">
        <v>105</v>
      </c>
      <c r="C359">
        <v>2</v>
      </c>
      <c r="D359">
        <v>6</v>
      </c>
      <c r="E359" t="s">
        <v>44</v>
      </c>
      <c r="F359" t="s">
        <v>152</v>
      </c>
      <c r="G359" t="s">
        <v>29</v>
      </c>
      <c r="H359" t="s">
        <v>29</v>
      </c>
      <c r="I359" t="s">
        <v>158</v>
      </c>
      <c r="J359" t="s">
        <v>82</v>
      </c>
      <c r="K359" t="s">
        <v>56</v>
      </c>
      <c r="L359" t="str">
        <f>CONCATENATE("Ist jedes ",stimuli_table[[#This Row],[shape_noun]]," entweder ",stimuli_table[[#This Row],[color_adjective2]]," oder ",stimuli_table[[#This Row],[color_adjective1]],"?")</f>
        <v>Ist jedes Kreis entweder grau oder schwarz?</v>
      </c>
      <c r="M359" t="s">
        <v>38</v>
      </c>
      <c r="N359" t="s">
        <v>151</v>
      </c>
      <c r="O359" t="s">
        <v>103</v>
      </c>
      <c r="P359" t="s">
        <v>33</v>
      </c>
      <c r="Q359" t="s">
        <v>84</v>
      </c>
      <c r="R359">
        <v>0</v>
      </c>
      <c r="S359" t="s">
        <v>58</v>
      </c>
      <c r="T359">
        <v>8</v>
      </c>
      <c r="U359" t="s">
        <v>36</v>
      </c>
      <c r="V359" t="s">
        <v>84</v>
      </c>
      <c r="W359">
        <v>4</v>
      </c>
      <c r="X359" t="s">
        <v>58</v>
      </c>
      <c r="Y359">
        <v>1</v>
      </c>
    </row>
    <row r="360" spans="1:25" x14ac:dyDescent="0.25">
      <c r="A360" t="s">
        <v>201</v>
      </c>
      <c r="B360">
        <v>105</v>
      </c>
      <c r="C360">
        <v>3</v>
      </c>
      <c r="D360">
        <v>7</v>
      </c>
      <c r="E360" t="s">
        <v>44</v>
      </c>
      <c r="F360" t="s">
        <v>153</v>
      </c>
      <c r="G360" t="s">
        <v>29</v>
      </c>
      <c r="H360" t="s">
        <v>29</v>
      </c>
      <c r="I360" t="s">
        <v>158</v>
      </c>
      <c r="J360" t="s">
        <v>82</v>
      </c>
      <c r="K360" t="s">
        <v>56</v>
      </c>
      <c r="L360" t="str">
        <f>CONCATENATE("Ist jedes ",stimuli_table[[#This Row],[shape_noun]]," entweder ",stimuli_table[[#This Row],[color_adjective2]]," oder ",stimuli_table[[#This Row],[color_adjective1]],"?")</f>
        <v>Ist jedes Kreis entweder grau oder schwarz?</v>
      </c>
      <c r="M360" t="s">
        <v>38</v>
      </c>
      <c r="N360" t="s">
        <v>151</v>
      </c>
      <c r="O360" t="s">
        <v>103</v>
      </c>
      <c r="P360" t="s">
        <v>33</v>
      </c>
      <c r="Q360" t="s">
        <v>84</v>
      </c>
      <c r="R360">
        <v>6</v>
      </c>
      <c r="S360" t="s">
        <v>58</v>
      </c>
      <c r="T360">
        <v>2</v>
      </c>
      <c r="U360" t="s">
        <v>36</v>
      </c>
      <c r="V360" t="s">
        <v>84</v>
      </c>
      <c r="W360">
        <v>4</v>
      </c>
      <c r="X360" t="s">
        <v>58</v>
      </c>
      <c r="Y360">
        <v>1</v>
      </c>
    </row>
    <row r="361" spans="1:25" x14ac:dyDescent="0.25">
      <c r="A361" t="s">
        <v>201</v>
      </c>
      <c r="B361">
        <v>105</v>
      </c>
      <c r="C361">
        <v>4</v>
      </c>
      <c r="D361">
        <v>8</v>
      </c>
      <c r="E361" t="s">
        <v>44</v>
      </c>
      <c r="F361" t="s">
        <v>154</v>
      </c>
      <c r="G361" t="s">
        <v>29</v>
      </c>
      <c r="H361" t="s">
        <v>29</v>
      </c>
      <c r="I361" t="s">
        <v>158</v>
      </c>
      <c r="J361" t="s">
        <v>82</v>
      </c>
      <c r="K361" t="s">
        <v>56</v>
      </c>
      <c r="L361" t="str">
        <f>CONCATENATE("Ist jedes ",stimuli_table[[#This Row],[shape_noun]]," entweder ",stimuli_table[[#This Row],[color_adjective2]]," oder ",stimuli_table[[#This Row],[color_adjective1]],"?")</f>
        <v>Ist jedes Kreis entweder grau oder schwarz?</v>
      </c>
      <c r="M361" t="s">
        <v>41</v>
      </c>
      <c r="N361" t="s">
        <v>151</v>
      </c>
      <c r="O361" t="s">
        <v>103</v>
      </c>
      <c r="P361" t="s">
        <v>33</v>
      </c>
      <c r="Q361" t="s">
        <v>84</v>
      </c>
      <c r="R361">
        <v>6</v>
      </c>
      <c r="S361" t="s">
        <v>59</v>
      </c>
      <c r="T361">
        <v>2</v>
      </c>
      <c r="U361" t="s">
        <v>36</v>
      </c>
      <c r="V361" t="s">
        <v>84</v>
      </c>
      <c r="W361">
        <v>4</v>
      </c>
      <c r="X361" t="s">
        <v>59</v>
      </c>
      <c r="Y361">
        <v>1</v>
      </c>
    </row>
    <row r="362" spans="1:25" x14ac:dyDescent="0.25">
      <c r="A362" t="s">
        <v>201</v>
      </c>
      <c r="B362">
        <v>106</v>
      </c>
      <c r="C362">
        <v>1</v>
      </c>
      <c r="D362">
        <v>1</v>
      </c>
      <c r="E362" t="s">
        <v>44</v>
      </c>
      <c r="F362" t="s">
        <v>144</v>
      </c>
      <c r="G362" t="s">
        <v>29</v>
      </c>
      <c r="H362" t="s">
        <v>29</v>
      </c>
      <c r="I362" t="s">
        <v>145</v>
      </c>
      <c r="J362" t="s">
        <v>101</v>
      </c>
      <c r="K362" t="s">
        <v>28</v>
      </c>
      <c r="L362" t="str">
        <f>CONCATENATE("Ist jedes ",stimuli_table[[#This Row],[shape_noun]]," entweder ",stimuli_table[[#This Row],[color_adjective1]]," oder ",stimuli_table[[#This Row],[color_adjective2]],"?")</f>
        <v>Ist jedes Dreieck entweder gelb oder blau?</v>
      </c>
      <c r="M362" t="s">
        <v>31</v>
      </c>
      <c r="N362" t="s">
        <v>151</v>
      </c>
      <c r="O362" t="s">
        <v>32</v>
      </c>
      <c r="P362" t="s">
        <v>27</v>
      </c>
      <c r="Q362" t="s">
        <v>59</v>
      </c>
      <c r="R362">
        <v>2</v>
      </c>
      <c r="S362" t="s">
        <v>34</v>
      </c>
      <c r="T362">
        <v>2</v>
      </c>
      <c r="U362" t="s">
        <v>33</v>
      </c>
      <c r="V362" t="s">
        <v>59</v>
      </c>
      <c r="W362">
        <v>3</v>
      </c>
      <c r="X362" t="s">
        <v>34</v>
      </c>
      <c r="Y362">
        <v>3</v>
      </c>
    </row>
    <row r="363" spans="1:25" x14ac:dyDescent="0.25">
      <c r="A363" t="s">
        <v>201</v>
      </c>
      <c r="B363">
        <v>106</v>
      </c>
      <c r="C363">
        <v>2</v>
      </c>
      <c r="D363">
        <v>2</v>
      </c>
      <c r="E363" t="s">
        <v>44</v>
      </c>
      <c r="F363" t="s">
        <v>147</v>
      </c>
      <c r="G363" t="s">
        <v>29</v>
      </c>
      <c r="H363" t="s">
        <v>29</v>
      </c>
      <c r="I363" t="s">
        <v>145</v>
      </c>
      <c r="J363" t="s">
        <v>101</v>
      </c>
      <c r="K363" t="s">
        <v>28</v>
      </c>
      <c r="L363" t="str">
        <f>CONCATENATE("Ist jedes ",stimuli_table[[#This Row],[shape_noun]]," entweder ",stimuli_table[[#This Row],[color_adjective1]]," oder ",stimuli_table[[#This Row],[color_adjective2]],"?")</f>
        <v>Ist jedes Dreieck entweder gelb oder blau?</v>
      </c>
      <c r="M363" t="s">
        <v>38</v>
      </c>
      <c r="N363" t="s">
        <v>151</v>
      </c>
      <c r="O363" t="s">
        <v>32</v>
      </c>
      <c r="P363" t="s">
        <v>27</v>
      </c>
      <c r="Q363" t="s">
        <v>59</v>
      </c>
      <c r="R363">
        <v>2</v>
      </c>
      <c r="S363" t="s">
        <v>34</v>
      </c>
      <c r="T363">
        <v>2</v>
      </c>
      <c r="U363" t="s">
        <v>36</v>
      </c>
      <c r="V363" t="s">
        <v>59</v>
      </c>
      <c r="W363">
        <v>0</v>
      </c>
      <c r="X363" t="s">
        <v>34</v>
      </c>
      <c r="Y363">
        <v>6</v>
      </c>
    </row>
    <row r="364" spans="1:25" x14ac:dyDescent="0.25">
      <c r="A364" t="s">
        <v>201</v>
      </c>
      <c r="B364">
        <v>106</v>
      </c>
      <c r="C364">
        <v>3</v>
      </c>
      <c r="D364">
        <v>3</v>
      </c>
      <c r="E364" t="s">
        <v>44</v>
      </c>
      <c r="F364" t="s">
        <v>148</v>
      </c>
      <c r="G364" t="s">
        <v>29</v>
      </c>
      <c r="H364" t="s">
        <v>29</v>
      </c>
      <c r="I364" t="s">
        <v>145</v>
      </c>
      <c r="J364" t="s">
        <v>101</v>
      </c>
      <c r="K364" t="s">
        <v>28</v>
      </c>
      <c r="L364" t="str">
        <f>CONCATENATE("Ist jedes ",stimuli_table[[#This Row],[shape_noun]]," entweder ",stimuli_table[[#This Row],[color_adjective1]]," oder ",stimuli_table[[#This Row],[color_adjective2]],"?")</f>
        <v>Ist jedes Dreieck entweder gelb oder blau?</v>
      </c>
      <c r="M364" t="s">
        <v>38</v>
      </c>
      <c r="N364" t="s">
        <v>151</v>
      </c>
      <c r="O364" t="s">
        <v>32</v>
      </c>
      <c r="P364" t="s">
        <v>27</v>
      </c>
      <c r="Q364" t="s">
        <v>59</v>
      </c>
      <c r="R364">
        <v>2</v>
      </c>
      <c r="S364" t="s">
        <v>34</v>
      </c>
      <c r="T364">
        <v>2</v>
      </c>
      <c r="U364" t="s">
        <v>36</v>
      </c>
      <c r="V364" t="s">
        <v>59</v>
      </c>
      <c r="W364">
        <v>3</v>
      </c>
      <c r="X364" t="s">
        <v>34</v>
      </c>
      <c r="Y364">
        <v>3</v>
      </c>
    </row>
    <row r="365" spans="1:25" x14ac:dyDescent="0.25">
      <c r="A365" t="s">
        <v>201</v>
      </c>
      <c r="B365">
        <v>106</v>
      </c>
      <c r="C365">
        <v>4</v>
      </c>
      <c r="D365">
        <v>4</v>
      </c>
      <c r="E365" t="s">
        <v>44</v>
      </c>
      <c r="F365" t="s">
        <v>149</v>
      </c>
      <c r="G365" t="s">
        <v>29</v>
      </c>
      <c r="H365" t="s">
        <v>29</v>
      </c>
      <c r="I365" t="s">
        <v>145</v>
      </c>
      <c r="J365" t="s">
        <v>101</v>
      </c>
      <c r="K365" t="s">
        <v>28</v>
      </c>
      <c r="L365" t="str">
        <f>CONCATENATE("Ist jedes ",stimuli_table[[#This Row],[shape_noun]]," entweder ",stimuli_table[[#This Row],[color_adjective1]]," oder ",stimuli_table[[#This Row],[color_adjective2]],"?")</f>
        <v>Ist jedes Dreieck entweder gelb oder blau?</v>
      </c>
      <c r="M365" t="s">
        <v>41</v>
      </c>
      <c r="N365" t="s">
        <v>151</v>
      </c>
      <c r="O365" t="s">
        <v>32</v>
      </c>
      <c r="P365" t="s">
        <v>27</v>
      </c>
      <c r="Q365" t="s">
        <v>35</v>
      </c>
      <c r="R365">
        <v>2</v>
      </c>
      <c r="S365" t="s">
        <v>34</v>
      </c>
      <c r="T365">
        <v>2</v>
      </c>
      <c r="U365" t="s">
        <v>36</v>
      </c>
      <c r="V365" t="s">
        <v>35</v>
      </c>
      <c r="W365">
        <v>3</v>
      </c>
      <c r="X365" t="s">
        <v>34</v>
      </c>
      <c r="Y365">
        <v>3</v>
      </c>
    </row>
    <row r="366" spans="1:25" x14ac:dyDescent="0.25">
      <c r="A366" t="s">
        <v>201</v>
      </c>
      <c r="B366">
        <v>106</v>
      </c>
      <c r="C366">
        <v>1</v>
      </c>
      <c r="D366">
        <v>5</v>
      </c>
      <c r="E366" t="s">
        <v>44</v>
      </c>
      <c r="F366" t="s">
        <v>150</v>
      </c>
      <c r="G366" t="s">
        <v>29</v>
      </c>
      <c r="H366" t="s">
        <v>29</v>
      </c>
      <c r="I366" t="s">
        <v>145</v>
      </c>
      <c r="J366" t="s">
        <v>101</v>
      </c>
      <c r="K366" t="s">
        <v>28</v>
      </c>
      <c r="L366" t="str">
        <f>CONCATENATE("Ist jedes ",stimuli_table[[#This Row],[shape_noun]]," entweder ",stimuli_table[[#This Row],[color_adjective2]]," oder ",stimuli_table[[#This Row],[color_adjective1]],"?")</f>
        <v>Ist jedes Dreieck entweder blau oder gelb?</v>
      </c>
      <c r="M366" t="s">
        <v>31</v>
      </c>
      <c r="N366" t="s">
        <v>146</v>
      </c>
      <c r="O366" t="s">
        <v>32</v>
      </c>
      <c r="P366" t="s">
        <v>27</v>
      </c>
      <c r="Q366" t="s">
        <v>59</v>
      </c>
      <c r="R366">
        <v>2</v>
      </c>
      <c r="S366" t="s">
        <v>34</v>
      </c>
      <c r="T366">
        <v>2</v>
      </c>
      <c r="U366" t="s">
        <v>33</v>
      </c>
      <c r="V366" t="s">
        <v>59</v>
      </c>
      <c r="W366">
        <v>3</v>
      </c>
      <c r="X366" t="s">
        <v>34</v>
      </c>
      <c r="Y366">
        <v>3</v>
      </c>
    </row>
    <row r="367" spans="1:25" x14ac:dyDescent="0.25">
      <c r="A367" t="s">
        <v>201</v>
      </c>
      <c r="B367">
        <v>106</v>
      </c>
      <c r="C367">
        <v>2</v>
      </c>
      <c r="D367">
        <v>6</v>
      </c>
      <c r="E367" t="s">
        <v>44</v>
      </c>
      <c r="F367" t="s">
        <v>152</v>
      </c>
      <c r="G367" t="s">
        <v>29</v>
      </c>
      <c r="H367" t="s">
        <v>29</v>
      </c>
      <c r="I367" t="s">
        <v>145</v>
      </c>
      <c r="J367" t="s">
        <v>101</v>
      </c>
      <c r="K367" t="s">
        <v>28</v>
      </c>
      <c r="L367" t="str">
        <f>CONCATENATE("Ist jedes ",stimuli_table[[#This Row],[shape_noun]]," entweder ",stimuli_table[[#This Row],[color_adjective2]]," oder ",stimuli_table[[#This Row],[color_adjective1]],"?")</f>
        <v>Ist jedes Dreieck entweder blau oder gelb?</v>
      </c>
      <c r="M367" t="s">
        <v>38</v>
      </c>
      <c r="N367" t="s">
        <v>146</v>
      </c>
      <c r="O367" t="s">
        <v>32</v>
      </c>
      <c r="P367" t="s">
        <v>27</v>
      </c>
      <c r="Q367" t="s">
        <v>59</v>
      </c>
      <c r="R367">
        <v>2</v>
      </c>
      <c r="S367" t="s">
        <v>34</v>
      </c>
      <c r="T367">
        <v>2</v>
      </c>
      <c r="U367" t="s">
        <v>36</v>
      </c>
      <c r="V367" t="s">
        <v>59</v>
      </c>
      <c r="W367">
        <v>0</v>
      </c>
      <c r="X367" t="s">
        <v>34</v>
      </c>
      <c r="Y367">
        <v>6</v>
      </c>
    </row>
    <row r="368" spans="1:25" x14ac:dyDescent="0.25">
      <c r="A368" t="s">
        <v>201</v>
      </c>
      <c r="B368">
        <v>106</v>
      </c>
      <c r="C368">
        <v>3</v>
      </c>
      <c r="D368">
        <v>7</v>
      </c>
      <c r="E368" t="s">
        <v>44</v>
      </c>
      <c r="F368" t="s">
        <v>153</v>
      </c>
      <c r="G368" t="s">
        <v>29</v>
      </c>
      <c r="H368" t="s">
        <v>29</v>
      </c>
      <c r="I368" t="s">
        <v>145</v>
      </c>
      <c r="J368" t="s">
        <v>101</v>
      </c>
      <c r="K368" t="s">
        <v>28</v>
      </c>
      <c r="L368" t="str">
        <f>CONCATENATE("Ist jedes ",stimuli_table[[#This Row],[shape_noun]]," entweder ",stimuli_table[[#This Row],[color_adjective2]]," oder ",stimuli_table[[#This Row],[color_adjective1]],"?")</f>
        <v>Ist jedes Dreieck entweder blau oder gelb?</v>
      </c>
      <c r="M368" t="s">
        <v>38</v>
      </c>
      <c r="N368" t="s">
        <v>146</v>
      </c>
      <c r="O368" t="s">
        <v>32</v>
      </c>
      <c r="P368" t="s">
        <v>27</v>
      </c>
      <c r="Q368" t="s">
        <v>59</v>
      </c>
      <c r="R368">
        <v>2</v>
      </c>
      <c r="S368" t="s">
        <v>34</v>
      </c>
      <c r="T368">
        <v>2</v>
      </c>
      <c r="U368" t="s">
        <v>36</v>
      </c>
      <c r="V368" t="s">
        <v>59</v>
      </c>
      <c r="W368">
        <v>3</v>
      </c>
      <c r="X368" t="s">
        <v>34</v>
      </c>
      <c r="Y368">
        <v>3</v>
      </c>
    </row>
    <row r="369" spans="1:25" x14ac:dyDescent="0.25">
      <c r="A369" t="s">
        <v>201</v>
      </c>
      <c r="B369">
        <v>106</v>
      </c>
      <c r="C369">
        <v>4</v>
      </c>
      <c r="D369">
        <v>8</v>
      </c>
      <c r="E369" t="s">
        <v>44</v>
      </c>
      <c r="F369" t="s">
        <v>154</v>
      </c>
      <c r="G369" t="s">
        <v>29</v>
      </c>
      <c r="H369" t="s">
        <v>29</v>
      </c>
      <c r="I369" t="s">
        <v>145</v>
      </c>
      <c r="J369" t="s">
        <v>101</v>
      </c>
      <c r="K369" t="s">
        <v>28</v>
      </c>
      <c r="L369" t="str">
        <f>CONCATENATE("Ist jedes ",stimuli_table[[#This Row],[shape_noun]]," entweder ",stimuli_table[[#This Row],[color_adjective2]]," oder ",stimuli_table[[#This Row],[color_adjective1]],"?")</f>
        <v>Ist jedes Dreieck entweder blau oder gelb?</v>
      </c>
      <c r="M369" t="s">
        <v>41</v>
      </c>
      <c r="N369" t="s">
        <v>146</v>
      </c>
      <c r="O369" t="s">
        <v>32</v>
      </c>
      <c r="P369" t="s">
        <v>27</v>
      </c>
      <c r="Q369" t="s">
        <v>35</v>
      </c>
      <c r="R369">
        <v>4</v>
      </c>
      <c r="S369" t="s">
        <v>34</v>
      </c>
      <c r="T369">
        <v>1</v>
      </c>
      <c r="U369" t="s">
        <v>36</v>
      </c>
      <c r="V369" t="s">
        <v>35</v>
      </c>
      <c r="W369">
        <v>3</v>
      </c>
      <c r="X369" t="s">
        <v>34</v>
      </c>
      <c r="Y369">
        <v>3</v>
      </c>
    </row>
    <row r="370" spans="1:25" x14ac:dyDescent="0.25">
      <c r="A370" t="s">
        <v>201</v>
      </c>
      <c r="B370">
        <v>107</v>
      </c>
      <c r="C370">
        <v>1</v>
      </c>
      <c r="D370">
        <v>1</v>
      </c>
      <c r="E370" t="s">
        <v>44</v>
      </c>
      <c r="F370" t="s">
        <v>144</v>
      </c>
      <c r="G370" t="s">
        <v>29</v>
      </c>
      <c r="H370" t="s">
        <v>29</v>
      </c>
      <c r="I370" t="s">
        <v>155</v>
      </c>
      <c r="J370" t="s">
        <v>123</v>
      </c>
      <c r="K370" t="s">
        <v>101</v>
      </c>
      <c r="L370" t="str">
        <f>CONCATENATE("Ist jedes ",stimuli_table[[#This Row],[shape_noun]]," entweder ",stimuli_table[[#This Row],[color_adjective1]]," oder ",stimuli_table[[#This Row],[color_adjective2]],"?")</f>
        <v>Ist jedes Quadrat entweder grün oder gelb?</v>
      </c>
      <c r="M370" t="s">
        <v>31</v>
      </c>
      <c r="N370" t="s">
        <v>146</v>
      </c>
      <c r="O370" t="s">
        <v>32</v>
      </c>
      <c r="P370" t="s">
        <v>36</v>
      </c>
      <c r="Q370" t="s">
        <v>66</v>
      </c>
      <c r="R370">
        <v>4</v>
      </c>
      <c r="S370" t="s">
        <v>59</v>
      </c>
      <c r="T370">
        <v>1</v>
      </c>
      <c r="U370" t="s">
        <v>33</v>
      </c>
      <c r="V370" t="s">
        <v>66</v>
      </c>
      <c r="W370">
        <v>2</v>
      </c>
      <c r="X370" t="s">
        <v>59</v>
      </c>
      <c r="Y370">
        <v>2</v>
      </c>
    </row>
    <row r="371" spans="1:25" x14ac:dyDescent="0.25">
      <c r="A371" t="s">
        <v>201</v>
      </c>
      <c r="B371">
        <v>107</v>
      </c>
      <c r="C371">
        <v>2</v>
      </c>
      <c r="D371">
        <v>2</v>
      </c>
      <c r="E371" t="s">
        <v>44</v>
      </c>
      <c r="F371" t="s">
        <v>147</v>
      </c>
      <c r="G371" t="s">
        <v>29</v>
      </c>
      <c r="H371" t="s">
        <v>29</v>
      </c>
      <c r="I371" t="s">
        <v>155</v>
      </c>
      <c r="J371" t="s">
        <v>123</v>
      </c>
      <c r="K371" t="s">
        <v>101</v>
      </c>
      <c r="L371" t="str">
        <f>CONCATENATE("Ist jedes ",stimuli_table[[#This Row],[shape_noun]]," entweder ",stimuli_table[[#This Row],[color_adjective1]]," oder ",stimuli_table[[#This Row],[color_adjective2]],"?")</f>
        <v>Ist jedes Quadrat entweder grün oder gelb?</v>
      </c>
      <c r="M371" t="s">
        <v>38</v>
      </c>
      <c r="N371" t="s">
        <v>146</v>
      </c>
      <c r="O371" t="s">
        <v>32</v>
      </c>
      <c r="P371" t="s">
        <v>36</v>
      </c>
      <c r="Q371" t="s">
        <v>66</v>
      </c>
      <c r="R371">
        <v>4</v>
      </c>
      <c r="S371" t="s">
        <v>59</v>
      </c>
      <c r="T371">
        <v>1</v>
      </c>
      <c r="U371" t="s">
        <v>27</v>
      </c>
      <c r="V371" t="s">
        <v>66</v>
      </c>
      <c r="W371">
        <v>0</v>
      </c>
      <c r="X371" t="s">
        <v>59</v>
      </c>
      <c r="Y371">
        <v>4</v>
      </c>
    </row>
    <row r="372" spans="1:25" x14ac:dyDescent="0.25">
      <c r="A372" t="s">
        <v>201</v>
      </c>
      <c r="B372">
        <v>107</v>
      </c>
      <c r="C372">
        <v>3</v>
      </c>
      <c r="D372">
        <v>3</v>
      </c>
      <c r="E372" t="s">
        <v>44</v>
      </c>
      <c r="F372" t="s">
        <v>148</v>
      </c>
      <c r="G372" t="s">
        <v>29</v>
      </c>
      <c r="H372" t="s">
        <v>29</v>
      </c>
      <c r="I372" t="s">
        <v>155</v>
      </c>
      <c r="J372" t="s">
        <v>123</v>
      </c>
      <c r="K372" t="s">
        <v>101</v>
      </c>
      <c r="L372" t="str">
        <f>CONCATENATE("Ist jedes ",stimuli_table[[#This Row],[shape_noun]]," entweder ",stimuli_table[[#This Row],[color_adjective1]]," oder ",stimuli_table[[#This Row],[color_adjective2]],"?")</f>
        <v>Ist jedes Quadrat entweder grün oder gelb?</v>
      </c>
      <c r="M372" t="s">
        <v>38</v>
      </c>
      <c r="N372" t="s">
        <v>146</v>
      </c>
      <c r="O372" t="s">
        <v>32</v>
      </c>
      <c r="P372" t="s">
        <v>36</v>
      </c>
      <c r="Q372" t="s">
        <v>66</v>
      </c>
      <c r="R372">
        <v>4</v>
      </c>
      <c r="S372" t="s">
        <v>59</v>
      </c>
      <c r="T372">
        <v>1</v>
      </c>
      <c r="U372" t="s">
        <v>27</v>
      </c>
      <c r="V372" t="s">
        <v>66</v>
      </c>
      <c r="W372">
        <v>2</v>
      </c>
      <c r="X372" t="s">
        <v>59</v>
      </c>
      <c r="Y372">
        <v>2</v>
      </c>
    </row>
    <row r="373" spans="1:25" x14ac:dyDescent="0.25">
      <c r="A373" t="s">
        <v>201</v>
      </c>
      <c r="B373">
        <v>107</v>
      </c>
      <c r="C373">
        <v>4</v>
      </c>
      <c r="D373">
        <v>4</v>
      </c>
      <c r="E373" t="s">
        <v>44</v>
      </c>
      <c r="F373" t="s">
        <v>149</v>
      </c>
      <c r="G373" t="s">
        <v>29</v>
      </c>
      <c r="H373" t="s">
        <v>29</v>
      </c>
      <c r="I373" t="s">
        <v>155</v>
      </c>
      <c r="J373" t="s">
        <v>123</v>
      </c>
      <c r="K373" t="s">
        <v>101</v>
      </c>
      <c r="L373" t="str">
        <f>CONCATENATE("Ist jedes ",stimuli_table[[#This Row],[shape_noun]]," entweder ",stimuli_table[[#This Row],[color_adjective1]]," oder ",stimuli_table[[#This Row],[color_adjective2]],"?")</f>
        <v>Ist jedes Quadrat entweder grün oder gelb?</v>
      </c>
      <c r="M373" t="s">
        <v>41</v>
      </c>
      <c r="N373" t="s">
        <v>146</v>
      </c>
      <c r="O373" t="s">
        <v>32</v>
      </c>
      <c r="P373" t="s">
        <v>36</v>
      </c>
      <c r="Q373" t="s">
        <v>84</v>
      </c>
      <c r="R373">
        <v>4</v>
      </c>
      <c r="S373" t="s">
        <v>59</v>
      </c>
      <c r="T373">
        <v>1</v>
      </c>
      <c r="U373" t="s">
        <v>27</v>
      </c>
      <c r="V373" t="s">
        <v>84</v>
      </c>
      <c r="W373">
        <v>2</v>
      </c>
      <c r="X373" t="s">
        <v>59</v>
      </c>
      <c r="Y373">
        <v>2</v>
      </c>
    </row>
    <row r="374" spans="1:25" x14ac:dyDescent="0.25">
      <c r="A374" t="s">
        <v>201</v>
      </c>
      <c r="B374">
        <v>107</v>
      </c>
      <c r="C374">
        <v>1</v>
      </c>
      <c r="D374">
        <v>5</v>
      </c>
      <c r="E374" t="s">
        <v>44</v>
      </c>
      <c r="F374" t="s">
        <v>150</v>
      </c>
      <c r="G374" t="s">
        <v>29</v>
      </c>
      <c r="H374" t="s">
        <v>29</v>
      </c>
      <c r="I374" t="s">
        <v>155</v>
      </c>
      <c r="J374" t="s">
        <v>123</v>
      </c>
      <c r="K374" t="s">
        <v>101</v>
      </c>
      <c r="L374" t="str">
        <f>CONCATENATE("Ist jedes ",stimuli_table[[#This Row],[shape_noun]]," entweder ",stimuli_table[[#This Row],[color_adjective2]]," oder ",stimuli_table[[#This Row],[color_adjective1]],"?")</f>
        <v>Ist jedes Quadrat entweder gelb oder grün?</v>
      </c>
      <c r="M374" t="s">
        <v>31</v>
      </c>
      <c r="N374" t="s">
        <v>151</v>
      </c>
      <c r="O374" t="s">
        <v>32</v>
      </c>
      <c r="P374" t="s">
        <v>36</v>
      </c>
      <c r="Q374" t="s">
        <v>66</v>
      </c>
      <c r="R374">
        <v>4</v>
      </c>
      <c r="S374" t="s">
        <v>59</v>
      </c>
      <c r="T374">
        <v>1</v>
      </c>
      <c r="U374" t="s">
        <v>33</v>
      </c>
      <c r="V374" t="s">
        <v>66</v>
      </c>
      <c r="W374">
        <v>2</v>
      </c>
      <c r="X374" t="s">
        <v>59</v>
      </c>
      <c r="Y374">
        <v>2</v>
      </c>
    </row>
    <row r="375" spans="1:25" x14ac:dyDescent="0.25">
      <c r="A375" t="s">
        <v>201</v>
      </c>
      <c r="B375">
        <v>107</v>
      </c>
      <c r="C375">
        <v>2</v>
      </c>
      <c r="D375">
        <v>6</v>
      </c>
      <c r="E375" t="s">
        <v>44</v>
      </c>
      <c r="F375" t="s">
        <v>152</v>
      </c>
      <c r="G375" t="s">
        <v>29</v>
      </c>
      <c r="H375" t="s">
        <v>29</v>
      </c>
      <c r="I375" t="s">
        <v>155</v>
      </c>
      <c r="J375" t="s">
        <v>123</v>
      </c>
      <c r="K375" t="s">
        <v>101</v>
      </c>
      <c r="L375" t="str">
        <f>CONCATENATE("Ist jedes ",stimuli_table[[#This Row],[shape_noun]]," entweder ",stimuli_table[[#This Row],[color_adjective2]]," oder ",stimuli_table[[#This Row],[color_adjective1]],"?")</f>
        <v>Ist jedes Quadrat entweder gelb oder grün?</v>
      </c>
      <c r="M375" t="s">
        <v>38</v>
      </c>
      <c r="N375" t="s">
        <v>151</v>
      </c>
      <c r="O375" t="s">
        <v>32</v>
      </c>
      <c r="P375" t="s">
        <v>36</v>
      </c>
      <c r="Q375" t="s">
        <v>66</v>
      </c>
      <c r="R375">
        <v>4</v>
      </c>
      <c r="S375" t="s">
        <v>59</v>
      </c>
      <c r="T375">
        <v>1</v>
      </c>
      <c r="U375" t="s">
        <v>27</v>
      </c>
      <c r="V375" t="s">
        <v>66</v>
      </c>
      <c r="W375">
        <v>0</v>
      </c>
      <c r="X375" t="s">
        <v>59</v>
      </c>
      <c r="Y375">
        <v>4</v>
      </c>
    </row>
    <row r="376" spans="1:25" x14ac:dyDescent="0.25">
      <c r="A376" t="s">
        <v>201</v>
      </c>
      <c r="B376">
        <v>107</v>
      </c>
      <c r="C376">
        <v>3</v>
      </c>
      <c r="D376">
        <v>7</v>
      </c>
      <c r="E376" t="s">
        <v>44</v>
      </c>
      <c r="F376" t="s">
        <v>153</v>
      </c>
      <c r="G376" t="s">
        <v>29</v>
      </c>
      <c r="H376" t="s">
        <v>29</v>
      </c>
      <c r="I376" t="s">
        <v>155</v>
      </c>
      <c r="J376" t="s">
        <v>123</v>
      </c>
      <c r="K376" t="s">
        <v>101</v>
      </c>
      <c r="L376" t="str">
        <f>CONCATENATE("Ist jedes ",stimuli_table[[#This Row],[shape_noun]]," entweder ",stimuli_table[[#This Row],[color_adjective2]]," oder ",stimuli_table[[#This Row],[color_adjective1]],"?")</f>
        <v>Ist jedes Quadrat entweder gelb oder grün?</v>
      </c>
      <c r="M376" t="s">
        <v>38</v>
      </c>
      <c r="N376" t="s">
        <v>151</v>
      </c>
      <c r="O376" t="s">
        <v>32</v>
      </c>
      <c r="P376" t="s">
        <v>36</v>
      </c>
      <c r="Q376" t="s">
        <v>66</v>
      </c>
      <c r="R376">
        <v>4</v>
      </c>
      <c r="S376" t="s">
        <v>59</v>
      </c>
      <c r="T376">
        <v>1</v>
      </c>
      <c r="U376" t="s">
        <v>27</v>
      </c>
      <c r="V376" t="s">
        <v>66</v>
      </c>
      <c r="W376">
        <v>2</v>
      </c>
      <c r="X376" t="s">
        <v>59</v>
      </c>
      <c r="Y376">
        <v>2</v>
      </c>
    </row>
    <row r="377" spans="1:25" x14ac:dyDescent="0.25">
      <c r="A377" t="s">
        <v>201</v>
      </c>
      <c r="B377">
        <v>107</v>
      </c>
      <c r="C377">
        <v>4</v>
      </c>
      <c r="D377">
        <v>8</v>
      </c>
      <c r="E377" t="s">
        <v>44</v>
      </c>
      <c r="F377" t="s">
        <v>154</v>
      </c>
      <c r="G377" t="s">
        <v>29</v>
      </c>
      <c r="H377" t="s">
        <v>29</v>
      </c>
      <c r="I377" t="s">
        <v>155</v>
      </c>
      <c r="J377" t="s">
        <v>123</v>
      </c>
      <c r="K377" t="s">
        <v>101</v>
      </c>
      <c r="L377" t="str">
        <f>CONCATENATE("Ist jedes ",stimuli_table[[#This Row],[shape_noun]]," entweder ",stimuli_table[[#This Row],[color_adjective2]]," oder ",stimuli_table[[#This Row],[color_adjective1]],"?")</f>
        <v>Ist jedes Quadrat entweder gelb oder grün?</v>
      </c>
      <c r="M377" t="s">
        <v>41</v>
      </c>
      <c r="N377" t="s">
        <v>151</v>
      </c>
      <c r="O377" t="s">
        <v>32</v>
      </c>
      <c r="P377" t="s">
        <v>36</v>
      </c>
      <c r="Q377" t="s">
        <v>84</v>
      </c>
      <c r="R377">
        <v>4</v>
      </c>
      <c r="S377" t="s">
        <v>59</v>
      </c>
      <c r="T377">
        <v>1</v>
      </c>
      <c r="U377" t="s">
        <v>27</v>
      </c>
      <c r="V377" t="s">
        <v>84</v>
      </c>
      <c r="W377">
        <v>2</v>
      </c>
      <c r="X377" t="s">
        <v>59</v>
      </c>
      <c r="Y377">
        <v>2</v>
      </c>
    </row>
    <row r="378" spans="1:25" x14ac:dyDescent="0.25">
      <c r="A378" t="s">
        <v>201</v>
      </c>
      <c r="B378">
        <v>108</v>
      </c>
      <c r="C378">
        <v>1</v>
      </c>
      <c r="D378">
        <v>1</v>
      </c>
      <c r="E378" t="s">
        <v>44</v>
      </c>
      <c r="F378" t="s">
        <v>144</v>
      </c>
      <c r="G378" t="s">
        <v>29</v>
      </c>
      <c r="H378" t="s">
        <v>29</v>
      </c>
      <c r="I378" t="s">
        <v>156</v>
      </c>
      <c r="J378" t="s">
        <v>82</v>
      </c>
      <c r="K378" t="s">
        <v>101</v>
      </c>
      <c r="L378" t="str">
        <f>CONCATENATE("Ist jedes ",stimuli_table[[#This Row],[shape_noun]]," entweder ",stimuli_table[[#This Row],[color_adjective1]]," oder ",stimuli_table[[#This Row],[color_adjective2]],"?")</f>
        <v>Ist jedes Herz entweder schwarz oder gelb?</v>
      </c>
      <c r="M378" t="s">
        <v>31</v>
      </c>
      <c r="N378" t="s">
        <v>151</v>
      </c>
      <c r="O378" t="s">
        <v>32</v>
      </c>
      <c r="P378" t="s">
        <v>52</v>
      </c>
      <c r="Q378" t="s">
        <v>84</v>
      </c>
      <c r="R378">
        <v>5</v>
      </c>
      <c r="S378" t="s">
        <v>59</v>
      </c>
      <c r="T378">
        <v>2</v>
      </c>
      <c r="U378" t="s">
        <v>33</v>
      </c>
      <c r="V378" t="s">
        <v>84</v>
      </c>
      <c r="W378">
        <v>4</v>
      </c>
      <c r="X378" t="s">
        <v>59</v>
      </c>
      <c r="Y378">
        <v>2</v>
      </c>
    </row>
    <row r="379" spans="1:25" x14ac:dyDescent="0.25">
      <c r="A379" t="s">
        <v>201</v>
      </c>
      <c r="B379">
        <v>108</v>
      </c>
      <c r="C379">
        <v>2</v>
      </c>
      <c r="D379">
        <v>2</v>
      </c>
      <c r="E379" t="s">
        <v>44</v>
      </c>
      <c r="F379" t="s">
        <v>147</v>
      </c>
      <c r="G379" t="s">
        <v>29</v>
      </c>
      <c r="H379" t="s">
        <v>29</v>
      </c>
      <c r="I379" t="s">
        <v>156</v>
      </c>
      <c r="J379" t="s">
        <v>82</v>
      </c>
      <c r="K379" t="s">
        <v>101</v>
      </c>
      <c r="L379" t="str">
        <f>CONCATENATE("Ist jedes ",stimuli_table[[#This Row],[shape_noun]]," entweder ",stimuli_table[[#This Row],[color_adjective1]]," oder ",stimuli_table[[#This Row],[color_adjective2]],"?")</f>
        <v>Ist jedes Herz entweder schwarz oder gelb?</v>
      </c>
      <c r="M379" t="s">
        <v>38</v>
      </c>
      <c r="N379" t="s">
        <v>151</v>
      </c>
      <c r="O379" t="s">
        <v>32</v>
      </c>
      <c r="P379" t="s">
        <v>52</v>
      </c>
      <c r="Q379" t="s">
        <v>84</v>
      </c>
      <c r="R379">
        <v>5</v>
      </c>
      <c r="S379" t="s">
        <v>59</v>
      </c>
      <c r="T379">
        <v>2</v>
      </c>
      <c r="U379" t="s">
        <v>50</v>
      </c>
      <c r="V379" t="s">
        <v>84</v>
      </c>
      <c r="W379">
        <v>0</v>
      </c>
      <c r="X379" t="s">
        <v>59</v>
      </c>
      <c r="Y379">
        <v>6</v>
      </c>
    </row>
    <row r="380" spans="1:25" x14ac:dyDescent="0.25">
      <c r="A380" t="s">
        <v>201</v>
      </c>
      <c r="B380">
        <v>108</v>
      </c>
      <c r="C380">
        <v>3</v>
      </c>
      <c r="D380">
        <v>3</v>
      </c>
      <c r="E380" t="s">
        <v>44</v>
      </c>
      <c r="F380" t="s">
        <v>148</v>
      </c>
      <c r="G380" t="s">
        <v>29</v>
      </c>
      <c r="H380" t="s">
        <v>29</v>
      </c>
      <c r="I380" t="s">
        <v>156</v>
      </c>
      <c r="J380" t="s">
        <v>82</v>
      </c>
      <c r="K380" t="s">
        <v>101</v>
      </c>
      <c r="L380" t="str">
        <f>CONCATENATE("Ist jedes ",stimuli_table[[#This Row],[shape_noun]]," entweder ",stimuli_table[[#This Row],[color_adjective1]]," oder ",stimuli_table[[#This Row],[color_adjective2]],"?")</f>
        <v>Ist jedes Herz entweder schwarz oder gelb?</v>
      </c>
      <c r="M380" t="s">
        <v>38</v>
      </c>
      <c r="N380" t="s">
        <v>151</v>
      </c>
      <c r="O380" t="s">
        <v>32</v>
      </c>
      <c r="P380" t="s">
        <v>52</v>
      </c>
      <c r="Q380" t="s">
        <v>84</v>
      </c>
      <c r="R380">
        <v>5</v>
      </c>
      <c r="S380" t="s">
        <v>59</v>
      </c>
      <c r="T380">
        <v>2</v>
      </c>
      <c r="U380" t="s">
        <v>50</v>
      </c>
      <c r="V380" t="s">
        <v>84</v>
      </c>
      <c r="W380">
        <v>4</v>
      </c>
      <c r="X380" t="s">
        <v>59</v>
      </c>
      <c r="Y380">
        <v>2</v>
      </c>
    </row>
    <row r="381" spans="1:25" x14ac:dyDescent="0.25">
      <c r="A381" t="s">
        <v>201</v>
      </c>
      <c r="B381">
        <v>108</v>
      </c>
      <c r="C381">
        <v>4</v>
      </c>
      <c r="D381">
        <v>4</v>
      </c>
      <c r="E381" t="s">
        <v>44</v>
      </c>
      <c r="F381" t="s">
        <v>149</v>
      </c>
      <c r="G381" t="s">
        <v>29</v>
      </c>
      <c r="H381" t="s">
        <v>29</v>
      </c>
      <c r="I381" t="s">
        <v>156</v>
      </c>
      <c r="J381" t="s">
        <v>82</v>
      </c>
      <c r="K381" t="s">
        <v>101</v>
      </c>
      <c r="L381" t="str">
        <f>CONCATENATE("Ist jedes ",stimuli_table[[#This Row],[shape_noun]]," entweder ",stimuli_table[[#This Row],[color_adjective1]]," oder ",stimuli_table[[#This Row],[color_adjective2]],"?")</f>
        <v>Ist jedes Herz entweder schwarz oder gelb?</v>
      </c>
      <c r="M381" t="s">
        <v>41</v>
      </c>
      <c r="N381" t="s">
        <v>151</v>
      </c>
      <c r="O381" t="s">
        <v>32</v>
      </c>
      <c r="P381" t="s">
        <v>52</v>
      </c>
      <c r="Q381" t="s">
        <v>35</v>
      </c>
      <c r="R381">
        <v>5</v>
      </c>
      <c r="S381" t="s">
        <v>59</v>
      </c>
      <c r="T381">
        <v>2</v>
      </c>
      <c r="U381" t="s">
        <v>50</v>
      </c>
      <c r="V381" t="s">
        <v>35</v>
      </c>
      <c r="W381">
        <v>4</v>
      </c>
      <c r="X381" t="s">
        <v>59</v>
      </c>
      <c r="Y381">
        <v>2</v>
      </c>
    </row>
    <row r="382" spans="1:25" x14ac:dyDescent="0.25">
      <c r="A382" t="s">
        <v>201</v>
      </c>
      <c r="B382">
        <v>108</v>
      </c>
      <c r="C382">
        <v>1</v>
      </c>
      <c r="D382">
        <v>5</v>
      </c>
      <c r="E382" t="s">
        <v>44</v>
      </c>
      <c r="F382" t="s">
        <v>150</v>
      </c>
      <c r="G382" t="s">
        <v>29</v>
      </c>
      <c r="H382" t="s">
        <v>29</v>
      </c>
      <c r="I382" t="s">
        <v>156</v>
      </c>
      <c r="J382" t="s">
        <v>82</v>
      </c>
      <c r="K382" t="s">
        <v>101</v>
      </c>
      <c r="L382" t="str">
        <f>CONCATENATE("Ist jedes ",stimuli_table[[#This Row],[shape_noun]]," entweder ",stimuli_table[[#This Row],[color_adjective2]]," oder ",stimuli_table[[#This Row],[color_adjective1]],"?")</f>
        <v>Ist jedes Herz entweder gelb oder schwarz?</v>
      </c>
      <c r="M382" t="s">
        <v>31</v>
      </c>
      <c r="N382" t="s">
        <v>146</v>
      </c>
      <c r="O382" t="s">
        <v>32</v>
      </c>
      <c r="P382" t="s">
        <v>52</v>
      </c>
      <c r="Q382" t="s">
        <v>84</v>
      </c>
      <c r="R382">
        <v>5</v>
      </c>
      <c r="S382" t="s">
        <v>59</v>
      </c>
      <c r="T382">
        <v>2</v>
      </c>
      <c r="U382" t="s">
        <v>33</v>
      </c>
      <c r="V382" t="s">
        <v>84</v>
      </c>
      <c r="W382">
        <v>4</v>
      </c>
      <c r="X382" t="s">
        <v>59</v>
      </c>
      <c r="Y382">
        <v>2</v>
      </c>
    </row>
    <row r="383" spans="1:25" x14ac:dyDescent="0.25">
      <c r="A383" t="s">
        <v>201</v>
      </c>
      <c r="B383">
        <v>108</v>
      </c>
      <c r="C383">
        <v>2</v>
      </c>
      <c r="D383">
        <v>6</v>
      </c>
      <c r="E383" t="s">
        <v>44</v>
      </c>
      <c r="F383" t="s">
        <v>152</v>
      </c>
      <c r="G383" t="s">
        <v>29</v>
      </c>
      <c r="H383" t="s">
        <v>29</v>
      </c>
      <c r="I383" t="s">
        <v>156</v>
      </c>
      <c r="J383" t="s">
        <v>82</v>
      </c>
      <c r="K383" t="s">
        <v>101</v>
      </c>
      <c r="L383" t="str">
        <f>CONCATENATE("Ist jedes ",stimuli_table[[#This Row],[shape_noun]]," entweder ",stimuli_table[[#This Row],[color_adjective2]]," oder ",stimuli_table[[#This Row],[color_adjective1]],"?")</f>
        <v>Ist jedes Herz entweder gelb oder schwarz?</v>
      </c>
      <c r="M383" t="s">
        <v>38</v>
      </c>
      <c r="N383" t="s">
        <v>146</v>
      </c>
      <c r="O383" t="s">
        <v>32</v>
      </c>
      <c r="P383" t="s">
        <v>52</v>
      </c>
      <c r="Q383" t="s">
        <v>84</v>
      </c>
      <c r="R383">
        <v>5</v>
      </c>
      <c r="S383" t="s">
        <v>59</v>
      </c>
      <c r="T383">
        <v>2</v>
      </c>
      <c r="U383" t="s">
        <v>50</v>
      </c>
      <c r="V383" t="s">
        <v>84</v>
      </c>
      <c r="W383">
        <v>0</v>
      </c>
      <c r="X383" t="s">
        <v>59</v>
      </c>
      <c r="Y383">
        <v>6</v>
      </c>
    </row>
    <row r="384" spans="1:25" x14ac:dyDescent="0.25">
      <c r="A384" t="s">
        <v>201</v>
      </c>
      <c r="B384">
        <v>108</v>
      </c>
      <c r="C384">
        <v>3</v>
      </c>
      <c r="D384">
        <v>7</v>
      </c>
      <c r="E384" t="s">
        <v>44</v>
      </c>
      <c r="F384" t="s">
        <v>153</v>
      </c>
      <c r="G384" t="s">
        <v>29</v>
      </c>
      <c r="H384" t="s">
        <v>29</v>
      </c>
      <c r="I384" t="s">
        <v>156</v>
      </c>
      <c r="J384" t="s">
        <v>82</v>
      </c>
      <c r="K384" t="s">
        <v>101</v>
      </c>
      <c r="L384" t="str">
        <f>CONCATENATE("Ist jedes ",stimuli_table[[#This Row],[shape_noun]]," entweder ",stimuli_table[[#This Row],[color_adjective2]]," oder ",stimuli_table[[#This Row],[color_adjective1]],"?")</f>
        <v>Ist jedes Herz entweder gelb oder schwarz?</v>
      </c>
      <c r="M384" t="s">
        <v>38</v>
      </c>
      <c r="N384" t="s">
        <v>146</v>
      </c>
      <c r="O384" t="s">
        <v>32</v>
      </c>
      <c r="P384" t="s">
        <v>52</v>
      </c>
      <c r="Q384" t="s">
        <v>84</v>
      </c>
      <c r="R384">
        <v>5</v>
      </c>
      <c r="S384" t="s">
        <v>59</v>
      </c>
      <c r="T384">
        <v>2</v>
      </c>
      <c r="U384" t="s">
        <v>50</v>
      </c>
      <c r="V384" t="s">
        <v>84</v>
      </c>
      <c r="W384">
        <v>4</v>
      </c>
      <c r="X384" t="s">
        <v>59</v>
      </c>
      <c r="Y384">
        <v>2</v>
      </c>
    </row>
    <row r="385" spans="1:25" x14ac:dyDescent="0.25">
      <c r="A385" t="s">
        <v>201</v>
      </c>
      <c r="B385">
        <v>108</v>
      </c>
      <c r="C385">
        <v>4</v>
      </c>
      <c r="D385">
        <v>8</v>
      </c>
      <c r="E385" t="s">
        <v>44</v>
      </c>
      <c r="F385" t="s">
        <v>154</v>
      </c>
      <c r="G385" t="s">
        <v>29</v>
      </c>
      <c r="H385" t="s">
        <v>29</v>
      </c>
      <c r="I385" t="s">
        <v>156</v>
      </c>
      <c r="J385" t="s">
        <v>82</v>
      </c>
      <c r="K385" t="s">
        <v>101</v>
      </c>
      <c r="L385" t="str">
        <f>CONCATENATE("Ist jedes ",stimuli_table[[#This Row],[shape_noun]]," entweder ",stimuli_table[[#This Row],[color_adjective2]]," oder ",stimuli_table[[#This Row],[color_adjective1]],"?")</f>
        <v>Ist jedes Herz entweder gelb oder schwarz?</v>
      </c>
      <c r="M385" t="s">
        <v>41</v>
      </c>
      <c r="N385" t="s">
        <v>146</v>
      </c>
      <c r="O385" t="s">
        <v>32</v>
      </c>
      <c r="P385" t="s">
        <v>52</v>
      </c>
      <c r="Q385" t="s">
        <v>35</v>
      </c>
      <c r="R385">
        <v>5</v>
      </c>
      <c r="S385" t="s">
        <v>59</v>
      </c>
      <c r="T385">
        <v>2</v>
      </c>
      <c r="U385" t="s">
        <v>50</v>
      </c>
      <c r="V385" t="s">
        <v>35</v>
      </c>
      <c r="W385">
        <v>4</v>
      </c>
      <c r="X385" t="s">
        <v>59</v>
      </c>
      <c r="Y385">
        <v>2</v>
      </c>
    </row>
    <row r="386" spans="1:25" x14ac:dyDescent="0.25">
      <c r="A386" t="s">
        <v>201</v>
      </c>
      <c r="B386">
        <v>109</v>
      </c>
      <c r="C386">
        <v>1</v>
      </c>
      <c r="D386">
        <v>1</v>
      </c>
      <c r="E386" t="s">
        <v>44</v>
      </c>
      <c r="F386" t="s">
        <v>144</v>
      </c>
      <c r="G386" t="s">
        <v>29</v>
      </c>
      <c r="H386" t="s">
        <v>29</v>
      </c>
      <c r="I386" t="s">
        <v>157</v>
      </c>
      <c r="J386" t="s">
        <v>70</v>
      </c>
      <c r="K386" t="s">
        <v>56</v>
      </c>
      <c r="L386" t="str">
        <f>CONCATENATE("Ist jedes ",stimuli_table[[#This Row],[shape_noun]]," entweder ",stimuli_table[[#This Row],[color_adjective1]]," oder ",stimuli_table[[#This Row],[color_adjective2]],"?")</f>
        <v>Ist jedes Kreuz entweder lila oder grau?</v>
      </c>
      <c r="M386" t="s">
        <v>31</v>
      </c>
      <c r="N386" t="s">
        <v>146</v>
      </c>
      <c r="O386" t="s">
        <v>32</v>
      </c>
      <c r="P386" t="s">
        <v>27</v>
      </c>
      <c r="Q386" t="s">
        <v>72</v>
      </c>
      <c r="R386">
        <v>3</v>
      </c>
      <c r="S386" t="s">
        <v>58</v>
      </c>
      <c r="T386">
        <v>3</v>
      </c>
      <c r="U386" t="s">
        <v>33</v>
      </c>
      <c r="V386" t="s">
        <v>72</v>
      </c>
      <c r="W386">
        <v>4</v>
      </c>
      <c r="X386" t="s">
        <v>58</v>
      </c>
      <c r="Y386">
        <v>2</v>
      </c>
    </row>
    <row r="387" spans="1:25" x14ac:dyDescent="0.25">
      <c r="A387" t="s">
        <v>201</v>
      </c>
      <c r="B387">
        <v>109</v>
      </c>
      <c r="C387">
        <v>2</v>
      </c>
      <c r="D387">
        <v>2</v>
      </c>
      <c r="E387" t="s">
        <v>44</v>
      </c>
      <c r="F387" t="s">
        <v>147</v>
      </c>
      <c r="G387" t="s">
        <v>29</v>
      </c>
      <c r="H387" t="s">
        <v>29</v>
      </c>
      <c r="I387" t="s">
        <v>157</v>
      </c>
      <c r="J387" t="s">
        <v>70</v>
      </c>
      <c r="K387" t="s">
        <v>56</v>
      </c>
      <c r="L387" t="str">
        <f>CONCATENATE("Ist jedes ",stimuli_table[[#This Row],[shape_noun]]," entweder ",stimuli_table[[#This Row],[color_adjective1]]," oder ",stimuli_table[[#This Row],[color_adjective2]],"?")</f>
        <v>Ist jedes Kreuz entweder lila oder grau?</v>
      </c>
      <c r="M387" t="s">
        <v>38</v>
      </c>
      <c r="N387" t="s">
        <v>146</v>
      </c>
      <c r="O387" t="s">
        <v>32</v>
      </c>
      <c r="P387" t="s">
        <v>27</v>
      </c>
      <c r="Q387" t="s">
        <v>72</v>
      </c>
      <c r="R387">
        <v>3</v>
      </c>
      <c r="S387" t="s">
        <v>58</v>
      </c>
      <c r="T387">
        <v>3</v>
      </c>
      <c r="U387" t="s">
        <v>52</v>
      </c>
      <c r="V387" t="s">
        <v>72</v>
      </c>
      <c r="W387">
        <v>0</v>
      </c>
      <c r="X387" t="s">
        <v>58</v>
      </c>
      <c r="Y387">
        <v>6</v>
      </c>
    </row>
    <row r="388" spans="1:25" x14ac:dyDescent="0.25">
      <c r="A388" t="s">
        <v>201</v>
      </c>
      <c r="B388">
        <v>109</v>
      </c>
      <c r="C388">
        <v>3</v>
      </c>
      <c r="D388">
        <v>3</v>
      </c>
      <c r="E388" t="s">
        <v>44</v>
      </c>
      <c r="F388" t="s">
        <v>148</v>
      </c>
      <c r="G388" t="s">
        <v>29</v>
      </c>
      <c r="H388" t="s">
        <v>29</v>
      </c>
      <c r="I388" t="s">
        <v>157</v>
      </c>
      <c r="J388" t="s">
        <v>70</v>
      </c>
      <c r="K388" t="s">
        <v>56</v>
      </c>
      <c r="L388" t="str">
        <f>CONCATENATE("Ist jedes ",stimuli_table[[#This Row],[shape_noun]]," entweder ",stimuli_table[[#This Row],[color_adjective1]]," oder ",stimuli_table[[#This Row],[color_adjective2]],"?")</f>
        <v>Ist jedes Kreuz entweder lila oder grau?</v>
      </c>
      <c r="M388" t="s">
        <v>38</v>
      </c>
      <c r="N388" t="s">
        <v>146</v>
      </c>
      <c r="O388" t="s">
        <v>32</v>
      </c>
      <c r="P388" t="s">
        <v>27</v>
      </c>
      <c r="Q388" t="s">
        <v>72</v>
      </c>
      <c r="R388">
        <v>3</v>
      </c>
      <c r="S388" t="s">
        <v>58</v>
      </c>
      <c r="T388">
        <v>3</v>
      </c>
      <c r="U388" t="s">
        <v>52</v>
      </c>
      <c r="V388" t="s">
        <v>72</v>
      </c>
      <c r="W388">
        <v>4</v>
      </c>
      <c r="X388" t="s">
        <v>58</v>
      </c>
      <c r="Y388">
        <v>2</v>
      </c>
    </row>
    <row r="389" spans="1:25" x14ac:dyDescent="0.25">
      <c r="A389" t="s">
        <v>201</v>
      </c>
      <c r="B389">
        <v>109</v>
      </c>
      <c r="C389">
        <v>4</v>
      </c>
      <c r="D389">
        <v>4</v>
      </c>
      <c r="E389" t="s">
        <v>44</v>
      </c>
      <c r="F389" t="s">
        <v>149</v>
      </c>
      <c r="G389" t="s">
        <v>29</v>
      </c>
      <c r="H389" t="s">
        <v>29</v>
      </c>
      <c r="I389" t="s">
        <v>157</v>
      </c>
      <c r="J389" t="s">
        <v>70</v>
      </c>
      <c r="K389" t="s">
        <v>56</v>
      </c>
      <c r="L389" t="str">
        <f>CONCATENATE("Ist jedes ",stimuli_table[[#This Row],[shape_noun]]," entweder ",stimuli_table[[#This Row],[color_adjective1]]," oder ",stimuli_table[[#This Row],[color_adjective2]],"?")</f>
        <v>Ist jedes Kreuz entweder lila oder grau?</v>
      </c>
      <c r="M389" t="s">
        <v>41</v>
      </c>
      <c r="N389" t="s">
        <v>146</v>
      </c>
      <c r="O389" t="s">
        <v>32</v>
      </c>
      <c r="P389" t="s">
        <v>27</v>
      </c>
      <c r="Q389" t="s">
        <v>65</v>
      </c>
      <c r="R389">
        <v>3</v>
      </c>
      <c r="S389" t="s">
        <v>58</v>
      </c>
      <c r="T389">
        <v>3</v>
      </c>
      <c r="U389" t="s">
        <v>52</v>
      </c>
      <c r="V389" t="s">
        <v>65</v>
      </c>
      <c r="W389">
        <v>4</v>
      </c>
      <c r="X389" t="s">
        <v>58</v>
      </c>
      <c r="Y389">
        <v>2</v>
      </c>
    </row>
    <row r="390" spans="1:25" x14ac:dyDescent="0.25">
      <c r="A390" t="s">
        <v>201</v>
      </c>
      <c r="B390">
        <v>109</v>
      </c>
      <c r="C390">
        <v>1</v>
      </c>
      <c r="D390">
        <v>5</v>
      </c>
      <c r="E390" t="s">
        <v>44</v>
      </c>
      <c r="F390" t="s">
        <v>150</v>
      </c>
      <c r="G390" t="s">
        <v>29</v>
      </c>
      <c r="H390" t="s">
        <v>29</v>
      </c>
      <c r="I390" t="s">
        <v>157</v>
      </c>
      <c r="J390" t="s">
        <v>70</v>
      </c>
      <c r="K390" t="s">
        <v>56</v>
      </c>
      <c r="L390" t="str">
        <f>CONCATENATE("Ist jedes ",stimuli_table[[#This Row],[shape_noun]]," entweder ",stimuli_table[[#This Row],[color_adjective2]]," oder ",stimuli_table[[#This Row],[color_adjective1]],"?")</f>
        <v>Ist jedes Kreuz entweder grau oder lila?</v>
      </c>
      <c r="M390" t="s">
        <v>31</v>
      </c>
      <c r="N390" t="s">
        <v>151</v>
      </c>
      <c r="O390" t="s">
        <v>32</v>
      </c>
      <c r="P390" t="s">
        <v>27</v>
      </c>
      <c r="Q390" t="s">
        <v>72</v>
      </c>
      <c r="R390">
        <v>3</v>
      </c>
      <c r="S390" t="s">
        <v>58</v>
      </c>
      <c r="T390">
        <v>3</v>
      </c>
      <c r="U390" t="s">
        <v>33</v>
      </c>
      <c r="V390" t="s">
        <v>72</v>
      </c>
      <c r="W390">
        <v>4</v>
      </c>
      <c r="X390" t="s">
        <v>58</v>
      </c>
      <c r="Y390">
        <v>2</v>
      </c>
    </row>
    <row r="391" spans="1:25" x14ac:dyDescent="0.25">
      <c r="A391" t="s">
        <v>201</v>
      </c>
      <c r="B391">
        <v>109</v>
      </c>
      <c r="C391">
        <v>2</v>
      </c>
      <c r="D391">
        <v>6</v>
      </c>
      <c r="E391" t="s">
        <v>44</v>
      </c>
      <c r="F391" t="s">
        <v>152</v>
      </c>
      <c r="G391" t="s">
        <v>29</v>
      </c>
      <c r="H391" t="s">
        <v>29</v>
      </c>
      <c r="I391" t="s">
        <v>157</v>
      </c>
      <c r="J391" t="s">
        <v>70</v>
      </c>
      <c r="K391" t="s">
        <v>56</v>
      </c>
      <c r="L391" t="str">
        <f>CONCATENATE("Ist jedes ",stimuli_table[[#This Row],[shape_noun]]," entweder ",stimuli_table[[#This Row],[color_adjective2]]," oder ",stimuli_table[[#This Row],[color_adjective1]],"?")</f>
        <v>Ist jedes Kreuz entweder grau oder lila?</v>
      </c>
      <c r="M391" t="s">
        <v>38</v>
      </c>
      <c r="N391" t="s">
        <v>151</v>
      </c>
      <c r="O391" t="s">
        <v>32</v>
      </c>
      <c r="P391" t="s">
        <v>27</v>
      </c>
      <c r="Q391" t="s">
        <v>72</v>
      </c>
      <c r="R391">
        <v>3</v>
      </c>
      <c r="S391" t="s">
        <v>58</v>
      </c>
      <c r="T391">
        <v>3</v>
      </c>
      <c r="U391" t="s">
        <v>52</v>
      </c>
      <c r="V391" t="s">
        <v>72</v>
      </c>
      <c r="W391">
        <v>0</v>
      </c>
      <c r="X391" t="s">
        <v>58</v>
      </c>
      <c r="Y391">
        <v>6</v>
      </c>
    </row>
    <row r="392" spans="1:25" x14ac:dyDescent="0.25">
      <c r="A392" t="s">
        <v>201</v>
      </c>
      <c r="B392">
        <v>109</v>
      </c>
      <c r="C392">
        <v>3</v>
      </c>
      <c r="D392">
        <v>7</v>
      </c>
      <c r="E392" t="s">
        <v>44</v>
      </c>
      <c r="F392" t="s">
        <v>153</v>
      </c>
      <c r="G392" t="s">
        <v>29</v>
      </c>
      <c r="H392" t="s">
        <v>29</v>
      </c>
      <c r="I392" t="s">
        <v>157</v>
      </c>
      <c r="J392" t="s">
        <v>70</v>
      </c>
      <c r="K392" t="s">
        <v>56</v>
      </c>
      <c r="L392" t="str">
        <f>CONCATENATE("Ist jedes ",stimuli_table[[#This Row],[shape_noun]]," entweder ",stimuli_table[[#This Row],[color_adjective2]]," oder ",stimuli_table[[#This Row],[color_adjective1]],"?")</f>
        <v>Ist jedes Kreuz entweder grau oder lila?</v>
      </c>
      <c r="M392" t="s">
        <v>38</v>
      </c>
      <c r="N392" t="s">
        <v>151</v>
      </c>
      <c r="O392" t="s">
        <v>32</v>
      </c>
      <c r="P392" t="s">
        <v>27</v>
      </c>
      <c r="Q392" t="s">
        <v>72</v>
      </c>
      <c r="R392">
        <v>3</v>
      </c>
      <c r="S392" t="s">
        <v>58</v>
      </c>
      <c r="T392">
        <v>3</v>
      </c>
      <c r="U392" t="s">
        <v>52</v>
      </c>
      <c r="V392" t="s">
        <v>72</v>
      </c>
      <c r="W392">
        <v>4</v>
      </c>
      <c r="X392" t="s">
        <v>58</v>
      </c>
      <c r="Y392">
        <v>2</v>
      </c>
    </row>
    <row r="393" spans="1:25" x14ac:dyDescent="0.25">
      <c r="A393" t="s">
        <v>201</v>
      </c>
      <c r="B393">
        <v>109</v>
      </c>
      <c r="C393">
        <v>4</v>
      </c>
      <c r="D393">
        <v>8</v>
      </c>
      <c r="E393" t="s">
        <v>44</v>
      </c>
      <c r="F393" t="s">
        <v>154</v>
      </c>
      <c r="G393" t="s">
        <v>29</v>
      </c>
      <c r="H393" t="s">
        <v>29</v>
      </c>
      <c r="I393" t="s">
        <v>157</v>
      </c>
      <c r="J393" t="s">
        <v>70</v>
      </c>
      <c r="K393" t="s">
        <v>56</v>
      </c>
      <c r="L393" t="str">
        <f>CONCATENATE("Ist jedes ",stimuli_table[[#This Row],[shape_noun]]," entweder ",stimuli_table[[#This Row],[color_adjective2]]," oder ",stimuli_table[[#This Row],[color_adjective1]],"?")</f>
        <v>Ist jedes Kreuz entweder grau oder lila?</v>
      </c>
      <c r="M393" t="s">
        <v>41</v>
      </c>
      <c r="N393" t="s">
        <v>151</v>
      </c>
      <c r="O393" t="s">
        <v>32</v>
      </c>
      <c r="P393" t="s">
        <v>27</v>
      </c>
      <c r="Q393" t="s">
        <v>65</v>
      </c>
      <c r="R393">
        <v>3</v>
      </c>
      <c r="S393" t="s">
        <v>58</v>
      </c>
      <c r="T393">
        <v>3</v>
      </c>
      <c r="U393" t="s">
        <v>52</v>
      </c>
      <c r="V393" t="s">
        <v>65</v>
      </c>
      <c r="W393">
        <v>4</v>
      </c>
      <c r="X393" t="s">
        <v>58</v>
      </c>
      <c r="Y393">
        <v>2</v>
      </c>
    </row>
    <row r="394" spans="1:25" x14ac:dyDescent="0.25">
      <c r="A394" t="s">
        <v>201</v>
      </c>
      <c r="B394">
        <v>110</v>
      </c>
      <c r="C394">
        <v>1</v>
      </c>
      <c r="D394">
        <v>1</v>
      </c>
      <c r="E394" t="s">
        <v>44</v>
      </c>
      <c r="F394" t="s">
        <v>144</v>
      </c>
      <c r="G394" t="s">
        <v>29</v>
      </c>
      <c r="H394" t="s">
        <v>29</v>
      </c>
      <c r="I394" t="s">
        <v>158</v>
      </c>
      <c r="J394" t="s">
        <v>92</v>
      </c>
      <c r="K394" t="s">
        <v>101</v>
      </c>
      <c r="L394" t="str">
        <f>CONCATENATE("Ist jedes ",stimuli_table[[#This Row],[shape_noun]]," entweder ",stimuli_table[[#This Row],[color_adjective1]]," oder ",stimuli_table[[#This Row],[color_adjective2]],"?")</f>
        <v>Ist jedes Kreis entweder rot oder gelb?</v>
      </c>
      <c r="M394" t="s">
        <v>31</v>
      </c>
      <c r="N394" t="s">
        <v>151</v>
      </c>
      <c r="O394" t="s">
        <v>32</v>
      </c>
      <c r="P394" t="s">
        <v>36</v>
      </c>
      <c r="Q394" t="s">
        <v>35</v>
      </c>
      <c r="R394">
        <v>1</v>
      </c>
      <c r="S394" t="s">
        <v>59</v>
      </c>
      <c r="T394">
        <v>6</v>
      </c>
      <c r="U394" t="s">
        <v>50</v>
      </c>
      <c r="V394" t="s">
        <v>35</v>
      </c>
      <c r="W394">
        <v>3</v>
      </c>
      <c r="X394" t="s">
        <v>59</v>
      </c>
      <c r="Y394">
        <v>1</v>
      </c>
    </row>
    <row r="395" spans="1:25" x14ac:dyDescent="0.25">
      <c r="A395" t="s">
        <v>201</v>
      </c>
      <c r="B395">
        <v>110</v>
      </c>
      <c r="C395">
        <v>2</v>
      </c>
      <c r="D395">
        <v>2</v>
      </c>
      <c r="E395" t="s">
        <v>44</v>
      </c>
      <c r="F395" t="s">
        <v>147</v>
      </c>
      <c r="G395" t="s">
        <v>29</v>
      </c>
      <c r="H395" t="s">
        <v>29</v>
      </c>
      <c r="I395" t="s">
        <v>158</v>
      </c>
      <c r="J395" t="s">
        <v>92</v>
      </c>
      <c r="K395" t="s">
        <v>101</v>
      </c>
      <c r="L395" t="str">
        <f>CONCATENATE("Ist jedes ",stimuli_table[[#This Row],[shape_noun]]," entweder ",stimuli_table[[#This Row],[color_adjective1]]," oder ",stimuli_table[[#This Row],[color_adjective2]],"?")</f>
        <v>Ist jedes Kreis entweder rot oder gelb?</v>
      </c>
      <c r="M395" t="s">
        <v>38</v>
      </c>
      <c r="N395" t="s">
        <v>151</v>
      </c>
      <c r="O395" t="s">
        <v>32</v>
      </c>
      <c r="P395" t="s">
        <v>36</v>
      </c>
      <c r="Q395" t="s">
        <v>35</v>
      </c>
      <c r="R395">
        <v>1</v>
      </c>
      <c r="S395" t="s">
        <v>59</v>
      </c>
      <c r="T395">
        <v>6</v>
      </c>
      <c r="U395" t="s">
        <v>33</v>
      </c>
      <c r="V395" t="s">
        <v>35</v>
      </c>
      <c r="W395">
        <v>0</v>
      </c>
      <c r="X395" t="s">
        <v>59</v>
      </c>
      <c r="Y395">
        <v>4</v>
      </c>
    </row>
    <row r="396" spans="1:25" x14ac:dyDescent="0.25">
      <c r="A396" t="s">
        <v>201</v>
      </c>
      <c r="B396">
        <v>110</v>
      </c>
      <c r="C396">
        <v>3</v>
      </c>
      <c r="D396">
        <v>3</v>
      </c>
      <c r="E396" t="s">
        <v>44</v>
      </c>
      <c r="F396" t="s">
        <v>148</v>
      </c>
      <c r="G396" t="s">
        <v>29</v>
      </c>
      <c r="H396" t="s">
        <v>29</v>
      </c>
      <c r="I396" t="s">
        <v>158</v>
      </c>
      <c r="J396" t="s">
        <v>92</v>
      </c>
      <c r="K396" t="s">
        <v>101</v>
      </c>
      <c r="L396" t="str">
        <f>CONCATENATE("Ist jedes ",stimuli_table[[#This Row],[shape_noun]]," entweder ",stimuli_table[[#This Row],[color_adjective1]]," oder ",stimuli_table[[#This Row],[color_adjective2]],"?")</f>
        <v>Ist jedes Kreis entweder rot oder gelb?</v>
      </c>
      <c r="M396" t="s">
        <v>38</v>
      </c>
      <c r="N396" t="s">
        <v>151</v>
      </c>
      <c r="O396" t="s">
        <v>32</v>
      </c>
      <c r="P396" t="s">
        <v>36</v>
      </c>
      <c r="Q396" t="s">
        <v>35</v>
      </c>
      <c r="R396">
        <v>1</v>
      </c>
      <c r="S396" t="s">
        <v>59</v>
      </c>
      <c r="T396">
        <v>6</v>
      </c>
      <c r="U396" t="s">
        <v>33</v>
      </c>
      <c r="V396" t="s">
        <v>35</v>
      </c>
      <c r="W396">
        <v>3</v>
      </c>
      <c r="X396" t="s">
        <v>59</v>
      </c>
      <c r="Y396">
        <v>1</v>
      </c>
    </row>
    <row r="397" spans="1:25" x14ac:dyDescent="0.25">
      <c r="A397" t="s">
        <v>201</v>
      </c>
      <c r="B397">
        <v>110</v>
      </c>
      <c r="C397">
        <v>4</v>
      </c>
      <c r="D397">
        <v>4</v>
      </c>
      <c r="E397" t="s">
        <v>44</v>
      </c>
      <c r="F397" t="s">
        <v>149</v>
      </c>
      <c r="G397" t="s">
        <v>29</v>
      </c>
      <c r="H397" t="s">
        <v>29</v>
      </c>
      <c r="I397" t="s">
        <v>158</v>
      </c>
      <c r="J397" t="s">
        <v>92</v>
      </c>
      <c r="K397" t="s">
        <v>101</v>
      </c>
      <c r="L397" t="str">
        <f>CONCATENATE("Ist jedes ",stimuli_table[[#This Row],[shape_noun]]," entweder ",stimuli_table[[#This Row],[color_adjective1]]," oder ",stimuli_table[[#This Row],[color_adjective2]],"?")</f>
        <v>Ist jedes Kreis entweder rot oder gelb?</v>
      </c>
      <c r="M397" t="s">
        <v>41</v>
      </c>
      <c r="N397" t="s">
        <v>151</v>
      </c>
      <c r="O397" t="s">
        <v>32</v>
      </c>
      <c r="P397" t="s">
        <v>36</v>
      </c>
      <c r="Q397" t="s">
        <v>35</v>
      </c>
      <c r="R397">
        <v>1</v>
      </c>
      <c r="S397" t="s">
        <v>66</v>
      </c>
      <c r="T397">
        <v>6</v>
      </c>
      <c r="U397" t="s">
        <v>33</v>
      </c>
      <c r="V397" t="s">
        <v>35</v>
      </c>
      <c r="W397">
        <v>3</v>
      </c>
      <c r="X397" t="s">
        <v>66</v>
      </c>
      <c r="Y397">
        <v>1</v>
      </c>
    </row>
    <row r="398" spans="1:25" x14ac:dyDescent="0.25">
      <c r="A398" t="s">
        <v>201</v>
      </c>
      <c r="B398">
        <v>110</v>
      </c>
      <c r="C398">
        <v>1</v>
      </c>
      <c r="D398">
        <v>5</v>
      </c>
      <c r="E398" t="s">
        <v>44</v>
      </c>
      <c r="F398" t="s">
        <v>150</v>
      </c>
      <c r="G398" t="s">
        <v>29</v>
      </c>
      <c r="H398" t="s">
        <v>29</v>
      </c>
      <c r="I398" t="s">
        <v>158</v>
      </c>
      <c r="J398" t="s">
        <v>92</v>
      </c>
      <c r="K398" t="s">
        <v>101</v>
      </c>
      <c r="L398" t="str">
        <f>CONCATENATE("Ist jedes ",stimuli_table[[#This Row],[shape_noun]]," entweder ",stimuli_table[[#This Row],[color_adjective2]]," oder ",stimuli_table[[#This Row],[color_adjective1]],"?")</f>
        <v>Ist jedes Kreis entweder gelb oder rot?</v>
      </c>
      <c r="M398" t="s">
        <v>31</v>
      </c>
      <c r="N398" t="s">
        <v>146</v>
      </c>
      <c r="O398" t="s">
        <v>32</v>
      </c>
      <c r="P398" t="s">
        <v>36</v>
      </c>
      <c r="Q398" t="s">
        <v>35</v>
      </c>
      <c r="R398">
        <v>1</v>
      </c>
      <c r="S398" t="s">
        <v>59</v>
      </c>
      <c r="T398">
        <v>6</v>
      </c>
      <c r="U398" t="s">
        <v>50</v>
      </c>
      <c r="V398" t="s">
        <v>35</v>
      </c>
      <c r="W398">
        <v>3</v>
      </c>
      <c r="X398" t="s">
        <v>59</v>
      </c>
      <c r="Y398">
        <v>1</v>
      </c>
    </row>
    <row r="399" spans="1:25" x14ac:dyDescent="0.25">
      <c r="A399" t="s">
        <v>201</v>
      </c>
      <c r="B399">
        <v>110</v>
      </c>
      <c r="C399">
        <v>2</v>
      </c>
      <c r="D399">
        <v>6</v>
      </c>
      <c r="E399" t="s">
        <v>44</v>
      </c>
      <c r="F399" t="s">
        <v>152</v>
      </c>
      <c r="G399" t="s">
        <v>29</v>
      </c>
      <c r="H399" t="s">
        <v>29</v>
      </c>
      <c r="I399" t="s">
        <v>158</v>
      </c>
      <c r="J399" t="s">
        <v>92</v>
      </c>
      <c r="K399" t="s">
        <v>101</v>
      </c>
      <c r="L399" t="str">
        <f>CONCATENATE("Ist jedes ",stimuli_table[[#This Row],[shape_noun]]," entweder ",stimuli_table[[#This Row],[color_adjective2]]," oder ",stimuli_table[[#This Row],[color_adjective1]],"?")</f>
        <v>Ist jedes Kreis entweder gelb oder rot?</v>
      </c>
      <c r="M399" t="s">
        <v>38</v>
      </c>
      <c r="N399" t="s">
        <v>146</v>
      </c>
      <c r="O399" t="s">
        <v>32</v>
      </c>
      <c r="P399" t="s">
        <v>36</v>
      </c>
      <c r="Q399" t="s">
        <v>35</v>
      </c>
      <c r="R399">
        <v>1</v>
      </c>
      <c r="S399" t="s">
        <v>59</v>
      </c>
      <c r="T399">
        <v>6</v>
      </c>
      <c r="U399" t="s">
        <v>33</v>
      </c>
      <c r="V399" t="s">
        <v>35</v>
      </c>
      <c r="W399">
        <v>0</v>
      </c>
      <c r="X399" t="s">
        <v>59</v>
      </c>
      <c r="Y399">
        <v>4</v>
      </c>
    </row>
    <row r="400" spans="1:25" x14ac:dyDescent="0.25">
      <c r="A400" t="s">
        <v>201</v>
      </c>
      <c r="B400">
        <v>110</v>
      </c>
      <c r="C400">
        <v>3</v>
      </c>
      <c r="D400">
        <v>7</v>
      </c>
      <c r="E400" t="s">
        <v>44</v>
      </c>
      <c r="F400" t="s">
        <v>153</v>
      </c>
      <c r="G400" t="s">
        <v>29</v>
      </c>
      <c r="H400" t="s">
        <v>29</v>
      </c>
      <c r="I400" t="s">
        <v>158</v>
      </c>
      <c r="J400" t="s">
        <v>92</v>
      </c>
      <c r="K400" t="s">
        <v>101</v>
      </c>
      <c r="L400" t="str">
        <f>CONCATENATE("Ist jedes ",stimuli_table[[#This Row],[shape_noun]]," entweder ",stimuli_table[[#This Row],[color_adjective2]]," oder ",stimuli_table[[#This Row],[color_adjective1]],"?")</f>
        <v>Ist jedes Kreis entweder gelb oder rot?</v>
      </c>
      <c r="M400" t="s">
        <v>38</v>
      </c>
      <c r="N400" t="s">
        <v>146</v>
      </c>
      <c r="O400" t="s">
        <v>32</v>
      </c>
      <c r="P400" t="s">
        <v>36</v>
      </c>
      <c r="Q400" t="s">
        <v>35</v>
      </c>
      <c r="R400">
        <v>1</v>
      </c>
      <c r="S400" t="s">
        <v>59</v>
      </c>
      <c r="T400">
        <v>6</v>
      </c>
      <c r="U400" t="s">
        <v>33</v>
      </c>
      <c r="V400" t="s">
        <v>35</v>
      </c>
      <c r="W400">
        <v>3</v>
      </c>
      <c r="X400" t="s">
        <v>59</v>
      </c>
      <c r="Y400">
        <v>1</v>
      </c>
    </row>
    <row r="401" spans="1:25" x14ac:dyDescent="0.25">
      <c r="A401" t="s">
        <v>201</v>
      </c>
      <c r="B401">
        <v>110</v>
      </c>
      <c r="C401">
        <v>4</v>
      </c>
      <c r="D401">
        <v>8</v>
      </c>
      <c r="E401" t="s">
        <v>44</v>
      </c>
      <c r="F401" t="s">
        <v>154</v>
      </c>
      <c r="G401" t="s">
        <v>29</v>
      </c>
      <c r="H401" t="s">
        <v>29</v>
      </c>
      <c r="I401" t="s">
        <v>158</v>
      </c>
      <c r="J401" t="s">
        <v>92</v>
      </c>
      <c r="K401" t="s">
        <v>101</v>
      </c>
      <c r="L401" t="str">
        <f>CONCATENATE("Ist jedes ",stimuli_table[[#This Row],[shape_noun]]," entweder ",stimuli_table[[#This Row],[color_adjective2]]," oder ",stimuli_table[[#This Row],[color_adjective1]],"?")</f>
        <v>Ist jedes Kreis entweder gelb oder rot?</v>
      </c>
      <c r="M401" t="s">
        <v>41</v>
      </c>
      <c r="N401" t="s">
        <v>146</v>
      </c>
      <c r="O401" t="s">
        <v>32</v>
      </c>
      <c r="P401" t="s">
        <v>36</v>
      </c>
      <c r="Q401" t="s">
        <v>35</v>
      </c>
      <c r="R401">
        <v>1</v>
      </c>
      <c r="S401" t="s">
        <v>66</v>
      </c>
      <c r="T401">
        <v>6</v>
      </c>
      <c r="U401" t="s">
        <v>33</v>
      </c>
      <c r="V401" t="s">
        <v>35</v>
      </c>
      <c r="W401">
        <v>3</v>
      </c>
      <c r="X401" t="s">
        <v>66</v>
      </c>
      <c r="Y401">
        <v>1</v>
      </c>
    </row>
    <row r="402" spans="1:25" x14ac:dyDescent="0.25">
      <c r="A402" t="s">
        <v>202</v>
      </c>
      <c r="B402">
        <v>301</v>
      </c>
      <c r="C402">
        <v>1</v>
      </c>
      <c r="D402">
        <v>1</v>
      </c>
      <c r="E402" t="s">
        <v>165</v>
      </c>
      <c r="F402" t="s">
        <v>166</v>
      </c>
      <c r="G402" t="s">
        <v>29</v>
      </c>
      <c r="H402" t="s">
        <v>29</v>
      </c>
      <c r="I402" t="s">
        <v>161</v>
      </c>
      <c r="J402" t="s">
        <v>92</v>
      </c>
      <c r="K402" t="s">
        <v>29</v>
      </c>
      <c r="L402" t="str">
        <f>CONCATENATE("Sind einige der ",stimuli_table[[#This Row],[shape_noun]], " ",stimuli_table[[#This Row],[color_adjective1]], "?")</f>
        <v>Sind einige der Quadrate rot?</v>
      </c>
      <c r="M402" t="s">
        <v>38</v>
      </c>
      <c r="N402" t="s">
        <v>160</v>
      </c>
      <c r="O402" t="s">
        <v>103</v>
      </c>
      <c r="P402" t="s">
        <v>27</v>
      </c>
      <c r="Q402" t="s">
        <v>35</v>
      </c>
      <c r="R402">
        <v>4</v>
      </c>
      <c r="S402" t="s">
        <v>34</v>
      </c>
      <c r="T402">
        <v>5</v>
      </c>
      <c r="U402" t="s">
        <v>33</v>
      </c>
      <c r="V402" t="s">
        <v>35</v>
      </c>
      <c r="W402">
        <v>2</v>
      </c>
      <c r="X402" t="s">
        <v>34</v>
      </c>
      <c r="Y402">
        <v>2</v>
      </c>
    </row>
    <row r="403" spans="1:25" x14ac:dyDescent="0.25">
      <c r="A403" t="s">
        <v>202</v>
      </c>
      <c r="B403">
        <v>301</v>
      </c>
      <c r="C403">
        <v>2</v>
      </c>
      <c r="D403">
        <v>2</v>
      </c>
      <c r="E403" t="s">
        <v>165</v>
      </c>
      <c r="F403" t="s">
        <v>167</v>
      </c>
      <c r="G403" t="s">
        <v>29</v>
      </c>
      <c r="H403" t="s">
        <v>29</v>
      </c>
      <c r="I403" t="s">
        <v>161</v>
      </c>
      <c r="J403" t="s">
        <v>92</v>
      </c>
      <c r="K403" t="s">
        <v>29</v>
      </c>
      <c r="L403" t="str">
        <f>CONCATENATE("Sind einige der ",stimuli_table[[#This Row],[shape_noun]]," ",stimuli_table[[#This Row],[color_adjective1]],"?")</f>
        <v>Sind einige der Quadrate rot?</v>
      </c>
      <c r="M403" t="s">
        <v>38</v>
      </c>
      <c r="N403" t="s">
        <v>160</v>
      </c>
      <c r="O403" t="s">
        <v>103</v>
      </c>
      <c r="P403" t="s">
        <v>27</v>
      </c>
      <c r="Q403" t="s">
        <v>35</v>
      </c>
      <c r="R403">
        <v>9</v>
      </c>
      <c r="S403" t="s">
        <v>34</v>
      </c>
      <c r="T403">
        <v>0</v>
      </c>
      <c r="U403" t="s">
        <v>33</v>
      </c>
      <c r="V403" t="s">
        <v>35</v>
      </c>
      <c r="W403">
        <v>2</v>
      </c>
      <c r="X403" t="s">
        <v>34</v>
      </c>
      <c r="Y403">
        <v>2</v>
      </c>
    </row>
    <row r="404" spans="1:25" x14ac:dyDescent="0.25">
      <c r="A404" t="s">
        <v>202</v>
      </c>
      <c r="B404">
        <v>302</v>
      </c>
      <c r="C404">
        <v>1</v>
      </c>
      <c r="D404">
        <v>1</v>
      </c>
      <c r="E404" t="s">
        <v>165</v>
      </c>
      <c r="F404" t="s">
        <v>166</v>
      </c>
      <c r="G404" t="s">
        <v>29</v>
      </c>
      <c r="H404" t="s">
        <v>29</v>
      </c>
      <c r="I404" t="s">
        <v>161</v>
      </c>
      <c r="J404" t="s">
        <v>28</v>
      </c>
      <c r="K404" t="s">
        <v>29</v>
      </c>
      <c r="L404" t="str">
        <f>CONCATENATE("Sind einige der ",stimuli_table[[#This Row],[shape_noun]]," ",stimuli_table[[#This Row],[color_adjective1]],"?")</f>
        <v>Sind einige der Quadrate blau?</v>
      </c>
      <c r="M404" t="s">
        <v>38</v>
      </c>
      <c r="N404" t="s">
        <v>160</v>
      </c>
      <c r="O404" t="s">
        <v>103</v>
      </c>
      <c r="P404" t="s">
        <v>27</v>
      </c>
      <c r="Q404" t="s">
        <v>34</v>
      </c>
      <c r="R404">
        <v>3</v>
      </c>
      <c r="S404" t="s">
        <v>59</v>
      </c>
      <c r="T404">
        <v>4</v>
      </c>
      <c r="U404" t="s">
        <v>36</v>
      </c>
      <c r="V404" t="s">
        <v>34</v>
      </c>
      <c r="W404">
        <v>3</v>
      </c>
      <c r="X404" t="s">
        <v>59</v>
      </c>
      <c r="Y404">
        <v>3</v>
      </c>
    </row>
    <row r="405" spans="1:25" x14ac:dyDescent="0.25">
      <c r="A405" t="s">
        <v>202</v>
      </c>
      <c r="B405">
        <v>302</v>
      </c>
      <c r="C405">
        <v>2</v>
      </c>
      <c r="D405">
        <v>2</v>
      </c>
      <c r="E405" t="s">
        <v>165</v>
      </c>
      <c r="F405" t="s">
        <v>167</v>
      </c>
      <c r="G405" t="s">
        <v>29</v>
      </c>
      <c r="H405" t="s">
        <v>29</v>
      </c>
      <c r="I405" t="s">
        <v>161</v>
      </c>
      <c r="J405" t="s">
        <v>28</v>
      </c>
      <c r="K405" t="s">
        <v>29</v>
      </c>
      <c r="L405" t="str">
        <f>CONCATENATE("Sind einige der ",stimuli_table[[#This Row],[shape_noun]]," ",stimuli_table[[#This Row],[color_adjective1]],"?")</f>
        <v>Sind einige der Quadrate blau?</v>
      </c>
      <c r="M405" t="s">
        <v>38</v>
      </c>
      <c r="N405" t="s">
        <v>160</v>
      </c>
      <c r="O405" t="s">
        <v>103</v>
      </c>
      <c r="P405" t="s">
        <v>27</v>
      </c>
      <c r="Q405" t="s">
        <v>34</v>
      </c>
      <c r="R405">
        <v>7</v>
      </c>
      <c r="S405" t="s">
        <v>59</v>
      </c>
      <c r="T405">
        <v>0</v>
      </c>
      <c r="U405" t="s">
        <v>36</v>
      </c>
      <c r="V405" t="s">
        <v>34</v>
      </c>
      <c r="W405">
        <v>3</v>
      </c>
      <c r="X405" t="s">
        <v>59</v>
      </c>
      <c r="Y405">
        <v>3</v>
      </c>
    </row>
    <row r="406" spans="1:25" x14ac:dyDescent="0.25">
      <c r="A406" t="s">
        <v>202</v>
      </c>
      <c r="B406">
        <v>303</v>
      </c>
      <c r="C406">
        <v>1</v>
      </c>
      <c r="D406">
        <v>1</v>
      </c>
      <c r="E406" t="s">
        <v>165</v>
      </c>
      <c r="F406" t="s">
        <v>166</v>
      </c>
      <c r="G406" t="s">
        <v>29</v>
      </c>
      <c r="H406" t="s">
        <v>29</v>
      </c>
      <c r="I406" t="s">
        <v>161</v>
      </c>
      <c r="J406" t="s">
        <v>101</v>
      </c>
      <c r="K406" t="s">
        <v>29</v>
      </c>
      <c r="L406" t="str">
        <f>CONCATENATE("Sind einige der ",stimuli_table[[#This Row],[shape_noun]]," ",stimuli_table[[#This Row],[color_adjective1]],"?")</f>
        <v>Sind einige der Quadrate gelb?</v>
      </c>
      <c r="M406" t="s">
        <v>38</v>
      </c>
      <c r="N406" t="s">
        <v>160</v>
      </c>
      <c r="O406" t="s">
        <v>103</v>
      </c>
      <c r="P406" t="s">
        <v>27</v>
      </c>
      <c r="Q406" t="s">
        <v>59</v>
      </c>
      <c r="R406">
        <v>3</v>
      </c>
      <c r="S406" t="s">
        <v>84</v>
      </c>
      <c r="T406">
        <v>5</v>
      </c>
      <c r="U406" t="s">
        <v>52</v>
      </c>
      <c r="V406" t="s">
        <v>59</v>
      </c>
      <c r="W406">
        <v>4</v>
      </c>
      <c r="X406" t="s">
        <v>84</v>
      </c>
      <c r="Y406">
        <v>4</v>
      </c>
    </row>
    <row r="407" spans="1:25" x14ac:dyDescent="0.25">
      <c r="A407" t="s">
        <v>202</v>
      </c>
      <c r="B407">
        <v>303</v>
      </c>
      <c r="C407">
        <v>2</v>
      </c>
      <c r="D407">
        <v>2</v>
      </c>
      <c r="E407" t="s">
        <v>165</v>
      </c>
      <c r="F407" t="s">
        <v>167</v>
      </c>
      <c r="G407" t="s">
        <v>29</v>
      </c>
      <c r="H407" t="s">
        <v>29</v>
      </c>
      <c r="I407" t="s">
        <v>161</v>
      </c>
      <c r="J407" t="s">
        <v>101</v>
      </c>
      <c r="K407" t="s">
        <v>29</v>
      </c>
      <c r="L407" t="str">
        <f>CONCATENATE("Sind einige der ",stimuli_table[[#This Row],[shape_noun]]," ",stimuli_table[[#This Row],[color_adjective1]],"?")</f>
        <v>Sind einige der Quadrate gelb?</v>
      </c>
      <c r="M407" t="s">
        <v>38</v>
      </c>
      <c r="N407" t="s">
        <v>160</v>
      </c>
      <c r="O407" t="s">
        <v>103</v>
      </c>
      <c r="P407" t="s">
        <v>27</v>
      </c>
      <c r="Q407" t="s">
        <v>59</v>
      </c>
      <c r="R407">
        <v>8</v>
      </c>
      <c r="S407" t="s">
        <v>84</v>
      </c>
      <c r="T407">
        <v>0</v>
      </c>
      <c r="U407" t="s">
        <v>52</v>
      </c>
      <c r="V407" t="s">
        <v>59</v>
      </c>
      <c r="W407">
        <v>4</v>
      </c>
      <c r="X407" t="s">
        <v>84</v>
      </c>
      <c r="Y407">
        <v>4</v>
      </c>
    </row>
    <row r="408" spans="1:25" x14ac:dyDescent="0.25">
      <c r="A408" t="s">
        <v>202</v>
      </c>
      <c r="B408">
        <v>304</v>
      </c>
      <c r="C408">
        <v>1</v>
      </c>
      <c r="D408">
        <v>1</v>
      </c>
      <c r="E408" t="s">
        <v>165</v>
      </c>
      <c r="F408" t="s">
        <v>166</v>
      </c>
      <c r="G408" t="s">
        <v>29</v>
      </c>
      <c r="H408" t="s">
        <v>29</v>
      </c>
      <c r="I408" t="s">
        <v>161</v>
      </c>
      <c r="J408" t="s">
        <v>123</v>
      </c>
      <c r="K408" t="s">
        <v>29</v>
      </c>
      <c r="L408" t="str">
        <f>CONCATENATE("Sind einige der ",stimuli_table[[#This Row],[shape_noun]]," ",stimuli_table[[#This Row],[color_adjective1]],"?")</f>
        <v>Sind einige der Quadrate grün?</v>
      </c>
      <c r="M408" t="s">
        <v>38</v>
      </c>
      <c r="N408" t="s">
        <v>160</v>
      </c>
      <c r="O408" t="s">
        <v>103</v>
      </c>
      <c r="P408" t="s">
        <v>27</v>
      </c>
      <c r="Q408" t="s">
        <v>66</v>
      </c>
      <c r="R408">
        <v>3</v>
      </c>
      <c r="S408" t="s">
        <v>48</v>
      </c>
      <c r="T408">
        <v>6</v>
      </c>
      <c r="U408" t="s">
        <v>50</v>
      </c>
      <c r="V408" t="s">
        <v>66</v>
      </c>
      <c r="W408">
        <v>5</v>
      </c>
      <c r="X408" t="s">
        <v>48</v>
      </c>
      <c r="Y408">
        <v>5</v>
      </c>
    </row>
    <row r="409" spans="1:25" x14ac:dyDescent="0.25">
      <c r="A409" t="s">
        <v>202</v>
      </c>
      <c r="B409">
        <v>304</v>
      </c>
      <c r="C409">
        <v>2</v>
      </c>
      <c r="D409">
        <v>2</v>
      </c>
      <c r="E409" t="s">
        <v>165</v>
      </c>
      <c r="F409" t="s">
        <v>167</v>
      </c>
      <c r="G409" t="s">
        <v>29</v>
      </c>
      <c r="H409" t="s">
        <v>29</v>
      </c>
      <c r="I409" t="s">
        <v>161</v>
      </c>
      <c r="J409" t="s">
        <v>123</v>
      </c>
      <c r="K409" t="s">
        <v>29</v>
      </c>
      <c r="L409" t="str">
        <f>CONCATENATE("Sind einige der ",stimuli_table[[#This Row],[shape_noun]]," ",stimuli_table[[#This Row],[color_adjective1]],"?")</f>
        <v>Sind einige der Quadrate grün?</v>
      </c>
      <c r="M409" t="s">
        <v>38</v>
      </c>
      <c r="N409" t="s">
        <v>160</v>
      </c>
      <c r="O409" t="s">
        <v>103</v>
      </c>
      <c r="P409" t="s">
        <v>27</v>
      </c>
      <c r="Q409" t="s">
        <v>66</v>
      </c>
      <c r="R409">
        <v>9</v>
      </c>
      <c r="S409" t="s">
        <v>48</v>
      </c>
      <c r="T409">
        <v>0</v>
      </c>
      <c r="U409" t="s">
        <v>50</v>
      </c>
      <c r="V409" t="s">
        <v>66</v>
      </c>
      <c r="W409">
        <v>5</v>
      </c>
      <c r="X409" t="s">
        <v>48</v>
      </c>
      <c r="Y409">
        <v>5</v>
      </c>
    </row>
    <row r="410" spans="1:25" x14ac:dyDescent="0.25">
      <c r="A410" t="s">
        <v>202</v>
      </c>
      <c r="B410">
        <v>305</v>
      </c>
      <c r="C410">
        <v>1</v>
      </c>
      <c r="D410">
        <v>1</v>
      </c>
      <c r="E410" t="s">
        <v>165</v>
      </c>
      <c r="F410" t="s">
        <v>166</v>
      </c>
      <c r="G410" t="s">
        <v>29</v>
      </c>
      <c r="H410" t="s">
        <v>29</v>
      </c>
      <c r="I410" t="s">
        <v>162</v>
      </c>
      <c r="J410" t="s">
        <v>63</v>
      </c>
      <c r="K410" t="s">
        <v>29</v>
      </c>
      <c r="L410" t="str">
        <f>CONCATENATE("Sind einige der ",stimuli_table[[#This Row],[shape_noun]]," ",stimuli_table[[#This Row],[color_adjective1]],"?")</f>
        <v>Sind einige der Kreise braun?</v>
      </c>
      <c r="M410" t="s">
        <v>38</v>
      </c>
      <c r="N410" t="s">
        <v>160</v>
      </c>
      <c r="O410" t="s">
        <v>103</v>
      </c>
      <c r="P410" t="s">
        <v>33</v>
      </c>
      <c r="Q410" t="s">
        <v>65</v>
      </c>
      <c r="R410">
        <v>3</v>
      </c>
      <c r="S410" t="s">
        <v>58</v>
      </c>
      <c r="T410">
        <v>4</v>
      </c>
      <c r="U410" t="s">
        <v>36</v>
      </c>
      <c r="V410" t="s">
        <v>65</v>
      </c>
      <c r="W410">
        <v>1</v>
      </c>
      <c r="X410" t="s">
        <v>58</v>
      </c>
      <c r="Y410">
        <v>6</v>
      </c>
    </row>
    <row r="411" spans="1:25" x14ac:dyDescent="0.25">
      <c r="A411" t="s">
        <v>202</v>
      </c>
      <c r="B411">
        <v>305</v>
      </c>
      <c r="C411">
        <v>2</v>
      </c>
      <c r="D411">
        <v>2</v>
      </c>
      <c r="E411" t="s">
        <v>165</v>
      </c>
      <c r="F411" t="s">
        <v>167</v>
      </c>
      <c r="G411" t="s">
        <v>29</v>
      </c>
      <c r="H411" t="s">
        <v>29</v>
      </c>
      <c r="I411" t="s">
        <v>162</v>
      </c>
      <c r="J411" t="s">
        <v>63</v>
      </c>
      <c r="K411" t="s">
        <v>29</v>
      </c>
      <c r="L411" t="str">
        <f>CONCATENATE("Sind einige der ",stimuli_table[[#This Row],[shape_noun]]," ",stimuli_table[[#This Row],[color_adjective1]],"?")</f>
        <v>Sind einige der Kreise braun?</v>
      </c>
      <c r="M411" t="s">
        <v>38</v>
      </c>
      <c r="N411" t="s">
        <v>160</v>
      </c>
      <c r="O411" t="s">
        <v>103</v>
      </c>
      <c r="P411" t="s">
        <v>33</v>
      </c>
      <c r="Q411" t="s">
        <v>65</v>
      </c>
      <c r="R411">
        <v>7</v>
      </c>
      <c r="S411" t="s">
        <v>58</v>
      </c>
      <c r="T411">
        <v>0</v>
      </c>
      <c r="U411" t="s">
        <v>36</v>
      </c>
      <c r="V411" t="s">
        <v>65</v>
      </c>
      <c r="W411">
        <v>1</v>
      </c>
      <c r="X411" t="s">
        <v>58</v>
      </c>
      <c r="Y411">
        <v>6</v>
      </c>
    </row>
    <row r="412" spans="1:25" x14ac:dyDescent="0.25">
      <c r="A412" t="s">
        <v>202</v>
      </c>
      <c r="B412">
        <v>311</v>
      </c>
      <c r="C412">
        <v>1</v>
      </c>
      <c r="D412">
        <v>1</v>
      </c>
      <c r="E412" t="s">
        <v>165</v>
      </c>
      <c r="F412" t="s">
        <v>166</v>
      </c>
      <c r="G412" t="s">
        <v>29</v>
      </c>
      <c r="H412" t="s">
        <v>29</v>
      </c>
      <c r="I412" t="s">
        <v>159</v>
      </c>
      <c r="J412" t="s">
        <v>92</v>
      </c>
      <c r="K412" t="s">
        <v>29</v>
      </c>
      <c r="L412" t="str">
        <f>CONCATENATE("Sind einige der ",stimuli_table[[#This Row],[shape_noun]]," ",stimuli_table[[#This Row],[color_adjective1]],"?")</f>
        <v>Sind einige der Kreuze rot?</v>
      </c>
      <c r="M412" t="s">
        <v>38</v>
      </c>
      <c r="N412" t="s">
        <v>160</v>
      </c>
      <c r="O412" t="s">
        <v>32</v>
      </c>
      <c r="P412" t="s">
        <v>36</v>
      </c>
      <c r="Q412" t="s">
        <v>35</v>
      </c>
      <c r="R412">
        <v>4</v>
      </c>
      <c r="S412" t="s">
        <v>59</v>
      </c>
      <c r="T412">
        <v>4</v>
      </c>
      <c r="U412" t="s">
        <v>52</v>
      </c>
      <c r="V412" t="s">
        <v>35</v>
      </c>
      <c r="W412">
        <v>3</v>
      </c>
      <c r="X412" t="s">
        <v>59</v>
      </c>
      <c r="Y412">
        <v>5</v>
      </c>
    </row>
    <row r="413" spans="1:25" x14ac:dyDescent="0.25">
      <c r="A413" t="s">
        <v>202</v>
      </c>
      <c r="B413">
        <v>311</v>
      </c>
      <c r="C413">
        <v>2</v>
      </c>
      <c r="D413">
        <v>2</v>
      </c>
      <c r="E413" t="s">
        <v>165</v>
      </c>
      <c r="F413" t="s">
        <v>167</v>
      </c>
      <c r="G413" t="s">
        <v>29</v>
      </c>
      <c r="H413" t="s">
        <v>29</v>
      </c>
      <c r="I413" t="s">
        <v>159</v>
      </c>
      <c r="J413" t="s">
        <v>92</v>
      </c>
      <c r="K413" t="s">
        <v>29</v>
      </c>
      <c r="L413" t="str">
        <f>CONCATENATE("Sind einige der ",stimuli_table[[#This Row],[shape_noun]]," ",stimuli_table[[#This Row],[color_adjective1]],"?")</f>
        <v>Sind einige der Kreuze rot?</v>
      </c>
      <c r="M413" t="s">
        <v>38</v>
      </c>
      <c r="N413" t="s">
        <v>160</v>
      </c>
      <c r="O413" t="s">
        <v>32</v>
      </c>
      <c r="P413" t="s">
        <v>36</v>
      </c>
      <c r="Q413" t="s">
        <v>35</v>
      </c>
      <c r="R413">
        <v>4</v>
      </c>
      <c r="S413" t="s">
        <v>59</v>
      </c>
      <c r="T413">
        <v>4</v>
      </c>
      <c r="U413" t="s">
        <v>52</v>
      </c>
      <c r="V413" t="s">
        <v>35</v>
      </c>
      <c r="W413">
        <v>8</v>
      </c>
      <c r="X413" t="s">
        <v>59</v>
      </c>
      <c r="Y413">
        <v>0</v>
      </c>
    </row>
    <row r="414" spans="1:25" x14ac:dyDescent="0.25">
      <c r="A414" t="s">
        <v>202</v>
      </c>
      <c r="B414">
        <v>312</v>
      </c>
      <c r="C414">
        <v>1</v>
      </c>
      <c r="D414">
        <v>1</v>
      </c>
      <c r="E414" t="s">
        <v>165</v>
      </c>
      <c r="F414" t="s">
        <v>166</v>
      </c>
      <c r="G414" t="s">
        <v>29</v>
      </c>
      <c r="H414" t="s">
        <v>29</v>
      </c>
      <c r="I414" t="s">
        <v>159</v>
      </c>
      <c r="J414" t="s">
        <v>28</v>
      </c>
      <c r="K414" t="s">
        <v>29</v>
      </c>
      <c r="L414" t="str">
        <f>CONCATENATE("Sind einige der ",stimuli_table[[#This Row],[shape_noun]]," ",stimuli_table[[#This Row],[color_adjective1]],"?")</f>
        <v>Sind einige der Kreuze blau?</v>
      </c>
      <c r="M414" t="s">
        <v>38</v>
      </c>
      <c r="N414" t="s">
        <v>160</v>
      </c>
      <c r="O414" t="s">
        <v>32</v>
      </c>
      <c r="P414" t="s">
        <v>33</v>
      </c>
      <c r="Q414" t="s">
        <v>34</v>
      </c>
      <c r="R414">
        <v>5</v>
      </c>
      <c r="S414" t="s">
        <v>84</v>
      </c>
      <c r="T414">
        <v>5</v>
      </c>
      <c r="U414" t="s">
        <v>52</v>
      </c>
      <c r="V414" t="s">
        <v>34</v>
      </c>
      <c r="W414">
        <v>3</v>
      </c>
      <c r="X414" t="s">
        <v>84</v>
      </c>
      <c r="Y414">
        <v>4</v>
      </c>
    </row>
    <row r="415" spans="1:25" x14ac:dyDescent="0.25">
      <c r="A415" t="s">
        <v>202</v>
      </c>
      <c r="B415">
        <v>312</v>
      </c>
      <c r="C415">
        <v>2</v>
      </c>
      <c r="D415">
        <v>2</v>
      </c>
      <c r="E415" t="s">
        <v>165</v>
      </c>
      <c r="F415" t="s">
        <v>167</v>
      </c>
      <c r="G415" t="s">
        <v>29</v>
      </c>
      <c r="H415" t="s">
        <v>29</v>
      </c>
      <c r="I415" t="s">
        <v>159</v>
      </c>
      <c r="J415" t="s">
        <v>28</v>
      </c>
      <c r="K415" t="s">
        <v>29</v>
      </c>
      <c r="L415" t="str">
        <f>CONCATENATE("Sind einige der ",stimuli_table[[#This Row],[shape_noun]]," ",stimuli_table[[#This Row],[color_adjective1]],"?")</f>
        <v>Sind einige der Kreuze blau?</v>
      </c>
      <c r="M415" t="s">
        <v>38</v>
      </c>
      <c r="N415" t="s">
        <v>160</v>
      </c>
      <c r="O415" t="s">
        <v>32</v>
      </c>
      <c r="P415" t="s">
        <v>33</v>
      </c>
      <c r="Q415" t="s">
        <v>34</v>
      </c>
      <c r="R415">
        <v>5</v>
      </c>
      <c r="S415" t="s">
        <v>84</v>
      </c>
      <c r="T415">
        <v>5</v>
      </c>
      <c r="U415" t="s">
        <v>52</v>
      </c>
      <c r="V415" t="s">
        <v>34</v>
      </c>
      <c r="W415">
        <v>7</v>
      </c>
      <c r="X415" t="s">
        <v>84</v>
      </c>
      <c r="Y415">
        <v>0</v>
      </c>
    </row>
    <row r="416" spans="1:25" x14ac:dyDescent="0.25">
      <c r="A416" t="s">
        <v>202</v>
      </c>
      <c r="B416">
        <v>316</v>
      </c>
      <c r="C416">
        <v>1</v>
      </c>
      <c r="D416">
        <v>1</v>
      </c>
      <c r="E416" t="s">
        <v>165</v>
      </c>
      <c r="F416" t="s">
        <v>166</v>
      </c>
      <c r="G416" t="s">
        <v>29</v>
      </c>
      <c r="H416" t="s">
        <v>29</v>
      </c>
      <c r="I416" t="s">
        <v>163</v>
      </c>
      <c r="J416" t="s">
        <v>48</v>
      </c>
      <c r="K416" t="s">
        <v>29</v>
      </c>
      <c r="L416" t="str">
        <f>CONCATENATE("Sind einige der ",stimuli_table[[#This Row],[shape_noun]]," ",stimuli_table[[#This Row],[color_adjective1]],"?")</f>
        <v>Sind einige der Herzen orange?</v>
      </c>
      <c r="M416" t="s">
        <v>38</v>
      </c>
      <c r="N416" t="s">
        <v>160</v>
      </c>
      <c r="O416" t="s">
        <v>32</v>
      </c>
      <c r="P416" t="s">
        <v>36</v>
      </c>
      <c r="Q416" t="s">
        <v>48</v>
      </c>
      <c r="R416">
        <v>1</v>
      </c>
      <c r="S416" t="s">
        <v>84</v>
      </c>
      <c r="T416">
        <v>7</v>
      </c>
      <c r="U416" t="s">
        <v>50</v>
      </c>
      <c r="V416" t="s">
        <v>48</v>
      </c>
      <c r="W416">
        <v>4</v>
      </c>
      <c r="X416" t="s">
        <v>84</v>
      </c>
      <c r="Y416">
        <v>5</v>
      </c>
    </row>
    <row r="417" spans="1:25" x14ac:dyDescent="0.25">
      <c r="A417" t="s">
        <v>202</v>
      </c>
      <c r="B417">
        <v>316</v>
      </c>
      <c r="C417">
        <v>2</v>
      </c>
      <c r="D417">
        <v>2</v>
      </c>
      <c r="E417" t="s">
        <v>165</v>
      </c>
      <c r="F417" t="s">
        <v>167</v>
      </c>
      <c r="G417" t="s">
        <v>29</v>
      </c>
      <c r="H417" t="s">
        <v>29</v>
      </c>
      <c r="I417" t="s">
        <v>163</v>
      </c>
      <c r="J417" t="s">
        <v>48</v>
      </c>
      <c r="K417" t="s">
        <v>29</v>
      </c>
      <c r="L417" t="str">
        <f>CONCATENATE("Sind einige der ",stimuli_table[[#This Row],[shape_noun]]," ",stimuli_table[[#This Row],[color_adjective1]],"?")</f>
        <v>Sind einige der Herzen orange?</v>
      </c>
      <c r="M417" t="s">
        <v>38</v>
      </c>
      <c r="N417" t="s">
        <v>160</v>
      </c>
      <c r="O417" t="s">
        <v>32</v>
      </c>
      <c r="P417" t="s">
        <v>36</v>
      </c>
      <c r="Q417" t="s">
        <v>48</v>
      </c>
      <c r="R417">
        <v>1</v>
      </c>
      <c r="S417" t="s">
        <v>84</v>
      </c>
      <c r="T417">
        <v>7</v>
      </c>
      <c r="U417" t="s">
        <v>50</v>
      </c>
      <c r="V417" t="s">
        <v>48</v>
      </c>
      <c r="W417">
        <v>9</v>
      </c>
      <c r="X417" t="s">
        <v>84</v>
      </c>
      <c r="Y417">
        <v>0</v>
      </c>
    </row>
    <row r="418" spans="1:25" x14ac:dyDescent="0.25">
      <c r="A418" t="s">
        <v>202</v>
      </c>
      <c r="B418">
        <v>317</v>
      </c>
      <c r="C418">
        <v>1</v>
      </c>
      <c r="D418">
        <v>1</v>
      </c>
      <c r="E418" t="s">
        <v>165</v>
      </c>
      <c r="F418" t="s">
        <v>166</v>
      </c>
      <c r="G418" t="s">
        <v>29</v>
      </c>
      <c r="H418" t="s">
        <v>29</v>
      </c>
      <c r="I418" t="s">
        <v>164</v>
      </c>
      <c r="J418" t="s">
        <v>82</v>
      </c>
      <c r="K418" t="s">
        <v>29</v>
      </c>
      <c r="L418" t="str">
        <f>CONCATENATE("Sind einige der ",stimuli_table[[#This Row],[shape_noun]]," ",stimuli_table[[#This Row],[color_adjective1]],"?")</f>
        <v>Sind einige der Dreiecke schwarz?</v>
      </c>
      <c r="M418" t="s">
        <v>38</v>
      </c>
      <c r="N418" t="s">
        <v>160</v>
      </c>
      <c r="O418" t="s">
        <v>32</v>
      </c>
      <c r="P418" t="s">
        <v>27</v>
      </c>
      <c r="Q418" t="s">
        <v>84</v>
      </c>
      <c r="R418">
        <v>2</v>
      </c>
      <c r="S418" t="s">
        <v>48</v>
      </c>
      <c r="T418">
        <v>6</v>
      </c>
      <c r="U418" t="s">
        <v>36</v>
      </c>
      <c r="V418" t="s">
        <v>84</v>
      </c>
      <c r="W418">
        <v>4</v>
      </c>
      <c r="X418" t="s">
        <v>48</v>
      </c>
      <c r="Y418">
        <v>6</v>
      </c>
    </row>
    <row r="419" spans="1:25" x14ac:dyDescent="0.25">
      <c r="A419" t="s">
        <v>202</v>
      </c>
      <c r="B419">
        <v>317</v>
      </c>
      <c r="C419">
        <v>2</v>
      </c>
      <c r="D419">
        <v>2</v>
      </c>
      <c r="E419" t="s">
        <v>165</v>
      </c>
      <c r="F419" t="s">
        <v>167</v>
      </c>
      <c r="G419" t="s">
        <v>29</v>
      </c>
      <c r="H419" t="s">
        <v>29</v>
      </c>
      <c r="I419" t="s">
        <v>164</v>
      </c>
      <c r="J419" t="s">
        <v>82</v>
      </c>
      <c r="K419" t="s">
        <v>29</v>
      </c>
      <c r="L419" t="str">
        <f>CONCATENATE("Sind einige der ",stimuli_table[[#This Row],[shape_noun]]," ",stimuli_table[[#This Row],[color_adjective1]],"?")</f>
        <v>Sind einige der Dreiecke schwarz?</v>
      </c>
      <c r="M419" t="s">
        <v>38</v>
      </c>
      <c r="N419" t="s">
        <v>160</v>
      </c>
      <c r="O419" t="s">
        <v>32</v>
      </c>
      <c r="P419" t="s">
        <v>27</v>
      </c>
      <c r="Q419" t="s">
        <v>84</v>
      </c>
      <c r="R419">
        <v>2</v>
      </c>
      <c r="S419" t="s">
        <v>48</v>
      </c>
      <c r="T419">
        <v>6</v>
      </c>
      <c r="U419" t="s">
        <v>36</v>
      </c>
      <c r="V419" t="s">
        <v>84</v>
      </c>
      <c r="W419">
        <v>10</v>
      </c>
      <c r="X419" t="s">
        <v>48</v>
      </c>
      <c r="Y419">
        <v>0</v>
      </c>
    </row>
    <row r="420" spans="1:25" x14ac:dyDescent="0.25">
      <c r="A420" t="s">
        <v>202</v>
      </c>
      <c r="B420">
        <v>318</v>
      </c>
      <c r="C420">
        <v>1</v>
      </c>
      <c r="D420">
        <v>1</v>
      </c>
      <c r="E420" t="s">
        <v>165</v>
      </c>
      <c r="F420" t="s">
        <v>166</v>
      </c>
      <c r="G420" t="s">
        <v>29</v>
      </c>
      <c r="H420" t="s">
        <v>29</v>
      </c>
      <c r="I420" t="s">
        <v>164</v>
      </c>
      <c r="J420" t="s">
        <v>56</v>
      </c>
      <c r="K420" t="s">
        <v>29</v>
      </c>
      <c r="L420" t="str">
        <f>CONCATENATE("Sind einige der ",stimuli_table[[#This Row],[shape_noun]]," ",stimuli_table[[#This Row],[color_adjective1]],"?")</f>
        <v>Sind einige der Dreiecke grau?</v>
      </c>
      <c r="M420" t="s">
        <v>38</v>
      </c>
      <c r="N420" t="s">
        <v>160</v>
      </c>
      <c r="O420" t="s">
        <v>32</v>
      </c>
      <c r="P420" t="s">
        <v>33</v>
      </c>
      <c r="Q420" t="s">
        <v>58</v>
      </c>
      <c r="R420">
        <v>1</v>
      </c>
      <c r="S420" t="s">
        <v>59</v>
      </c>
      <c r="T420">
        <v>5</v>
      </c>
      <c r="U420" t="s">
        <v>36</v>
      </c>
      <c r="V420" t="s">
        <v>58</v>
      </c>
      <c r="W420">
        <v>3</v>
      </c>
      <c r="X420" t="s">
        <v>59</v>
      </c>
      <c r="Y420">
        <v>3</v>
      </c>
    </row>
    <row r="421" spans="1:25" x14ac:dyDescent="0.25">
      <c r="A421" t="s">
        <v>202</v>
      </c>
      <c r="B421">
        <v>318</v>
      </c>
      <c r="C421">
        <v>2</v>
      </c>
      <c r="D421">
        <v>2</v>
      </c>
      <c r="E421" t="s">
        <v>165</v>
      </c>
      <c r="F421" t="s">
        <v>167</v>
      </c>
      <c r="G421" t="s">
        <v>29</v>
      </c>
      <c r="H421" t="s">
        <v>29</v>
      </c>
      <c r="I421" t="s">
        <v>164</v>
      </c>
      <c r="J421" t="s">
        <v>56</v>
      </c>
      <c r="K421" t="s">
        <v>29</v>
      </c>
      <c r="L421" t="str">
        <f>CONCATENATE("Sind einige der ",stimuli_table[[#This Row],[shape_noun]]," ",stimuli_table[[#This Row],[color_adjective1]],"?")</f>
        <v>Sind einige der Dreiecke grau?</v>
      </c>
      <c r="M421" t="s">
        <v>38</v>
      </c>
      <c r="N421" t="s">
        <v>160</v>
      </c>
      <c r="O421" t="s">
        <v>32</v>
      </c>
      <c r="P421" t="s">
        <v>33</v>
      </c>
      <c r="Q421" t="s">
        <v>58</v>
      </c>
      <c r="R421">
        <v>1</v>
      </c>
      <c r="S421" t="s">
        <v>59</v>
      </c>
      <c r="T421">
        <v>5</v>
      </c>
      <c r="U421" t="s">
        <v>36</v>
      </c>
      <c r="V421" t="s">
        <v>58</v>
      </c>
      <c r="W421">
        <v>6</v>
      </c>
      <c r="X421" t="s">
        <v>59</v>
      </c>
      <c r="Y421">
        <v>0</v>
      </c>
    </row>
    <row r="422" spans="1:25" x14ac:dyDescent="0.25">
      <c r="A422" t="s">
        <v>170</v>
      </c>
      <c r="B422">
        <v>401</v>
      </c>
      <c r="C422">
        <v>1</v>
      </c>
      <c r="D422">
        <v>1</v>
      </c>
      <c r="E422" t="s">
        <v>29</v>
      </c>
      <c r="F422" t="s">
        <v>168</v>
      </c>
      <c r="G422" t="s">
        <v>29</v>
      </c>
      <c r="H422" t="s">
        <v>29</v>
      </c>
      <c r="I422" t="s">
        <v>164</v>
      </c>
      <c r="J422" t="s">
        <v>28</v>
      </c>
      <c r="K422" t="s">
        <v>29</v>
      </c>
      <c r="L422" t="str">
        <f>CONCATENATE("Sind bis zu ",stimuli_table[[#This Row],[n_quantifier]]," ", stimuli_table[[#This Row],[shape_noun]], " ",stimuli_table[[#This Row],[color_adjective1]],"?")</f>
        <v>Sind bis zu NA Dreiecke blau?</v>
      </c>
      <c r="M422" t="s">
        <v>41</v>
      </c>
      <c r="N422" t="s">
        <v>160</v>
      </c>
      <c r="O422" t="s">
        <v>103</v>
      </c>
      <c r="P422" t="s">
        <v>36</v>
      </c>
      <c r="Q422" t="s">
        <v>34</v>
      </c>
      <c r="R422">
        <v>0</v>
      </c>
      <c r="S422" t="s">
        <v>35</v>
      </c>
      <c r="T422">
        <v>5</v>
      </c>
      <c r="U422" t="s">
        <v>27</v>
      </c>
      <c r="V422" t="s">
        <v>34</v>
      </c>
      <c r="W422">
        <v>5</v>
      </c>
      <c r="X422" t="s">
        <v>35</v>
      </c>
      <c r="Y422">
        <v>5</v>
      </c>
    </row>
    <row r="423" spans="1:25" x14ac:dyDescent="0.25">
      <c r="A423" t="s">
        <v>170</v>
      </c>
      <c r="B423">
        <v>401</v>
      </c>
      <c r="C423">
        <v>2</v>
      </c>
      <c r="D423">
        <v>2</v>
      </c>
      <c r="E423" t="s">
        <v>29</v>
      </c>
      <c r="F423" t="s">
        <v>169</v>
      </c>
      <c r="G423" t="s">
        <v>29</v>
      </c>
      <c r="H423" t="s">
        <v>29</v>
      </c>
      <c r="I423" t="s">
        <v>164</v>
      </c>
      <c r="J423" t="s">
        <v>28</v>
      </c>
      <c r="K423" t="s">
        <v>29</v>
      </c>
      <c r="L423" t="str">
        <f>CONCATENATE("Sind höchstens ",stimuli_table[[#This Row],[n_quantifier]]," ", stimuli_table[[#This Row],[shape_noun]], " ",stimuli_table[[#This Row],[color_adjective1]],"?")</f>
        <v>Sind höchstens NA Dreiecke blau?</v>
      </c>
      <c r="M423" t="s">
        <v>38</v>
      </c>
      <c r="N423" t="s">
        <v>160</v>
      </c>
      <c r="O423" t="s">
        <v>103</v>
      </c>
      <c r="P423" t="s">
        <v>36</v>
      </c>
      <c r="Q423" t="s">
        <v>34</v>
      </c>
      <c r="R423">
        <v>0</v>
      </c>
      <c r="S423" t="s">
        <v>35</v>
      </c>
      <c r="T423">
        <v>5</v>
      </c>
      <c r="U423" t="s">
        <v>27</v>
      </c>
      <c r="V423" t="s">
        <v>34</v>
      </c>
      <c r="W423">
        <v>5</v>
      </c>
      <c r="X423" t="s">
        <v>35</v>
      </c>
      <c r="Y423">
        <v>5</v>
      </c>
    </row>
    <row r="424" spans="1:25" x14ac:dyDescent="0.25">
      <c r="A424" t="s">
        <v>170</v>
      </c>
      <c r="B424">
        <v>402</v>
      </c>
      <c r="C424">
        <v>1</v>
      </c>
      <c r="D424">
        <v>1</v>
      </c>
      <c r="E424" t="s">
        <v>29</v>
      </c>
      <c r="F424" t="s">
        <v>168</v>
      </c>
      <c r="G424" t="s">
        <v>29</v>
      </c>
      <c r="H424" t="s">
        <v>29</v>
      </c>
      <c r="I424" t="s">
        <v>162</v>
      </c>
      <c r="J424" t="s">
        <v>92</v>
      </c>
      <c r="K424" t="s">
        <v>29</v>
      </c>
      <c r="L424" t="str">
        <f>CONCATENATE("Sind bis zu ",stimuli_table[[#This Row],[n_quantifier]]," ", stimuli_table[[#This Row],[shape_noun]], " ",stimuli_table[[#This Row],[color_adjective1]],"?")</f>
        <v>Sind bis zu NA Kreise rot?</v>
      </c>
      <c r="M424" t="s">
        <v>41</v>
      </c>
      <c r="N424" t="s">
        <v>160</v>
      </c>
      <c r="O424" t="s">
        <v>103</v>
      </c>
      <c r="P424" t="s">
        <v>33</v>
      </c>
      <c r="Q424" t="s">
        <v>35</v>
      </c>
      <c r="R424">
        <v>0</v>
      </c>
      <c r="S424" t="s">
        <v>59</v>
      </c>
      <c r="T424">
        <v>6</v>
      </c>
      <c r="U424" t="s">
        <v>52</v>
      </c>
      <c r="V424" t="s">
        <v>35</v>
      </c>
      <c r="W424">
        <v>2</v>
      </c>
      <c r="X424" t="s">
        <v>59</v>
      </c>
      <c r="Y424">
        <v>2</v>
      </c>
    </row>
    <row r="425" spans="1:25" x14ac:dyDescent="0.25">
      <c r="A425" t="s">
        <v>170</v>
      </c>
      <c r="B425">
        <v>402</v>
      </c>
      <c r="C425">
        <v>2</v>
      </c>
      <c r="D425">
        <v>2</v>
      </c>
      <c r="E425" t="s">
        <v>29</v>
      </c>
      <c r="F425" t="s">
        <v>169</v>
      </c>
      <c r="G425" t="s">
        <v>29</v>
      </c>
      <c r="H425" t="s">
        <v>29</v>
      </c>
      <c r="I425" t="s">
        <v>162</v>
      </c>
      <c r="J425" t="s">
        <v>92</v>
      </c>
      <c r="K425" t="s">
        <v>29</v>
      </c>
      <c r="L425" t="str">
        <f>CONCATENATE("Sind höchstens ",stimuli_table[[#This Row],[n_quantifier]]," ", stimuli_table[[#This Row],[shape_noun]], " ",stimuli_table[[#This Row],[color_adjective1]],"?")</f>
        <v>Sind höchstens NA Kreise rot?</v>
      </c>
      <c r="M425" t="s">
        <v>38</v>
      </c>
      <c r="N425" t="s">
        <v>160</v>
      </c>
      <c r="O425" t="s">
        <v>103</v>
      </c>
      <c r="P425" t="s">
        <v>33</v>
      </c>
      <c r="Q425" t="s">
        <v>35</v>
      </c>
      <c r="R425">
        <v>0</v>
      </c>
      <c r="S425" t="s">
        <v>59</v>
      </c>
      <c r="T425">
        <v>6</v>
      </c>
      <c r="U425" t="s">
        <v>52</v>
      </c>
      <c r="V425" t="s">
        <v>35</v>
      </c>
      <c r="W425">
        <v>2</v>
      </c>
      <c r="X425" t="s">
        <v>59</v>
      </c>
      <c r="Y425">
        <v>2</v>
      </c>
    </row>
    <row r="426" spans="1:25" x14ac:dyDescent="0.25">
      <c r="A426" t="s">
        <v>170</v>
      </c>
      <c r="B426">
        <v>403</v>
      </c>
      <c r="C426">
        <v>1</v>
      </c>
      <c r="D426">
        <v>1</v>
      </c>
      <c r="E426" t="s">
        <v>29</v>
      </c>
      <c r="F426" t="s">
        <v>168</v>
      </c>
      <c r="G426" t="s">
        <v>29</v>
      </c>
      <c r="H426" t="s">
        <v>29</v>
      </c>
      <c r="I426" t="s">
        <v>162</v>
      </c>
      <c r="J426" t="s">
        <v>56</v>
      </c>
      <c r="K426" t="s">
        <v>29</v>
      </c>
      <c r="L426" t="str">
        <f>CONCATENATE("Sind bis zu ",stimuli_table[[#This Row],[n_quantifier]]," ", stimuli_table[[#This Row],[shape_noun]], " ",stimuli_table[[#This Row],[color_adjective1]],"?")</f>
        <v>Sind bis zu NA Kreise grau?</v>
      </c>
      <c r="M426" t="s">
        <v>41</v>
      </c>
      <c r="N426" t="s">
        <v>160</v>
      </c>
      <c r="O426" t="s">
        <v>32</v>
      </c>
      <c r="P426" t="s">
        <v>27</v>
      </c>
      <c r="Q426" t="s">
        <v>58</v>
      </c>
      <c r="R426">
        <v>4</v>
      </c>
      <c r="S426" t="s">
        <v>35</v>
      </c>
      <c r="T426">
        <v>4</v>
      </c>
      <c r="U426" t="s">
        <v>33</v>
      </c>
      <c r="V426" t="s">
        <v>58</v>
      </c>
      <c r="W426">
        <v>0</v>
      </c>
      <c r="X426" t="s">
        <v>35</v>
      </c>
      <c r="Y426">
        <v>8</v>
      </c>
    </row>
    <row r="427" spans="1:25" x14ac:dyDescent="0.25">
      <c r="A427" t="s">
        <v>170</v>
      </c>
      <c r="B427">
        <v>403</v>
      </c>
      <c r="C427">
        <v>2</v>
      </c>
      <c r="D427">
        <v>2</v>
      </c>
      <c r="E427" t="s">
        <v>29</v>
      </c>
      <c r="F427" t="s">
        <v>169</v>
      </c>
      <c r="G427" t="s">
        <v>29</v>
      </c>
      <c r="H427" t="s">
        <v>29</v>
      </c>
      <c r="I427" t="s">
        <v>164</v>
      </c>
      <c r="J427" t="s">
        <v>63</v>
      </c>
      <c r="K427" t="s">
        <v>29</v>
      </c>
      <c r="L427" t="str">
        <f>CONCATENATE("Sind höchstens ",stimuli_table[[#This Row],[n_quantifier]]," ", stimuli_table[[#This Row],[shape_noun]], " ",stimuli_table[[#This Row],[color_adjective1]],"?")</f>
        <v>Sind höchstens NA Dreiecke braun?</v>
      </c>
      <c r="M427" t="s">
        <v>38</v>
      </c>
      <c r="N427" t="s">
        <v>160</v>
      </c>
      <c r="O427" t="s">
        <v>32</v>
      </c>
      <c r="P427" t="s">
        <v>33</v>
      </c>
      <c r="Q427" t="s">
        <v>65</v>
      </c>
      <c r="R427">
        <v>3</v>
      </c>
      <c r="S427" t="s">
        <v>34</v>
      </c>
      <c r="T427">
        <v>3</v>
      </c>
      <c r="U427" t="s">
        <v>36</v>
      </c>
      <c r="V427" t="s">
        <v>65</v>
      </c>
      <c r="W427">
        <v>0</v>
      </c>
      <c r="X427" t="s">
        <v>34</v>
      </c>
      <c r="Y427">
        <v>4</v>
      </c>
    </row>
    <row r="428" spans="1:25" x14ac:dyDescent="0.25">
      <c r="A428" t="s">
        <v>170</v>
      </c>
      <c r="B428">
        <v>404</v>
      </c>
      <c r="C428">
        <v>1</v>
      </c>
      <c r="D428">
        <v>1</v>
      </c>
      <c r="E428" t="s">
        <v>29</v>
      </c>
      <c r="F428" t="s">
        <v>168</v>
      </c>
      <c r="G428" t="s">
        <v>29</v>
      </c>
      <c r="H428" t="s">
        <v>29</v>
      </c>
      <c r="I428" t="s">
        <v>161</v>
      </c>
      <c r="J428" t="s">
        <v>82</v>
      </c>
      <c r="K428" t="s">
        <v>29</v>
      </c>
      <c r="L428" t="str">
        <f>CONCATENATE("Sind bis zu ",stimuli_table[[#This Row],[n_quantifier]]," ", stimuli_table[[#This Row],[shape_noun]], " ",stimuli_table[[#This Row],[color_adjective1]],"?")</f>
        <v>Sind bis zu NA Quadrate schwarz?</v>
      </c>
      <c r="M428" t="s">
        <v>41</v>
      </c>
      <c r="N428" t="s">
        <v>160</v>
      </c>
      <c r="O428" t="s">
        <v>32</v>
      </c>
      <c r="P428" t="s">
        <v>52</v>
      </c>
      <c r="Q428" t="s">
        <v>84</v>
      </c>
      <c r="R428">
        <v>4</v>
      </c>
      <c r="S428" t="s">
        <v>59</v>
      </c>
      <c r="T428">
        <v>2</v>
      </c>
      <c r="U428" t="s">
        <v>27</v>
      </c>
      <c r="V428" t="s">
        <v>84</v>
      </c>
      <c r="W428">
        <v>0</v>
      </c>
      <c r="X428" t="s">
        <v>59</v>
      </c>
      <c r="Y428">
        <v>10</v>
      </c>
    </row>
    <row r="429" spans="1:25" x14ac:dyDescent="0.25">
      <c r="A429" t="s">
        <v>170</v>
      </c>
      <c r="B429">
        <v>404</v>
      </c>
      <c r="C429">
        <v>2</v>
      </c>
      <c r="D429">
        <v>2</v>
      </c>
      <c r="E429" t="s">
        <v>29</v>
      </c>
      <c r="F429" t="s">
        <v>169</v>
      </c>
      <c r="G429" t="s">
        <v>29</v>
      </c>
      <c r="H429" t="s">
        <v>29</v>
      </c>
      <c r="I429" t="s">
        <v>161</v>
      </c>
      <c r="J429" t="s">
        <v>82</v>
      </c>
      <c r="K429" t="s">
        <v>29</v>
      </c>
      <c r="L429" t="str">
        <f>CONCATENATE("Sind höchstens ",stimuli_table[[#This Row],[n_quantifier]]," ", stimuli_table[[#This Row],[shape_noun]], " ",stimuli_table[[#This Row],[color_adjective1]],"?")</f>
        <v>Sind höchstens NA Quadrate schwarz?</v>
      </c>
      <c r="M429" t="s">
        <v>38</v>
      </c>
      <c r="N429" t="s">
        <v>160</v>
      </c>
      <c r="O429" t="s">
        <v>32</v>
      </c>
      <c r="P429" t="s">
        <v>52</v>
      </c>
      <c r="Q429" t="s">
        <v>84</v>
      </c>
      <c r="R429">
        <v>4</v>
      </c>
      <c r="S429" t="s">
        <v>59</v>
      </c>
      <c r="T429">
        <v>2</v>
      </c>
      <c r="U429" t="s">
        <v>27</v>
      </c>
      <c r="V429" t="s">
        <v>84</v>
      </c>
      <c r="W429">
        <v>0</v>
      </c>
      <c r="X429" t="s">
        <v>59</v>
      </c>
      <c r="Y429">
        <v>10</v>
      </c>
    </row>
    <row r="430" spans="1:25" x14ac:dyDescent="0.25">
      <c r="A430" t="s">
        <v>170</v>
      </c>
      <c r="B430">
        <v>405</v>
      </c>
      <c r="C430">
        <v>1</v>
      </c>
      <c r="D430">
        <v>1</v>
      </c>
      <c r="E430" t="s">
        <v>29</v>
      </c>
      <c r="F430" t="s">
        <v>168</v>
      </c>
      <c r="G430" t="s">
        <v>29</v>
      </c>
      <c r="H430" t="s">
        <v>29</v>
      </c>
      <c r="I430" t="s">
        <v>159</v>
      </c>
      <c r="J430" t="s">
        <v>76</v>
      </c>
      <c r="K430" t="s">
        <v>29</v>
      </c>
      <c r="L430" t="str">
        <f>CONCATENATE("Sind bis zu ",stimuli_table[[#This Row],[n_quantifier]]," ", stimuli_table[[#This Row],[shape_noun]], " ",stimuli_table[[#This Row],[color_adjective1]],"?")</f>
        <v>Sind bis zu NA Kreuze türkis?</v>
      </c>
      <c r="M430" t="s">
        <v>41</v>
      </c>
      <c r="N430" t="s">
        <v>160</v>
      </c>
      <c r="O430" t="s">
        <v>32</v>
      </c>
      <c r="P430" t="s">
        <v>50</v>
      </c>
      <c r="Q430" t="s">
        <v>78</v>
      </c>
      <c r="R430">
        <v>2</v>
      </c>
      <c r="S430" t="s">
        <v>66</v>
      </c>
      <c r="T430">
        <v>4</v>
      </c>
      <c r="U430" t="s">
        <v>52</v>
      </c>
      <c r="V430" t="s">
        <v>78</v>
      </c>
      <c r="W430">
        <v>0</v>
      </c>
      <c r="X430" t="s">
        <v>66</v>
      </c>
      <c r="Y430">
        <v>5</v>
      </c>
    </row>
    <row r="431" spans="1:25" x14ac:dyDescent="0.25">
      <c r="A431" t="s">
        <v>170</v>
      </c>
      <c r="B431">
        <v>405</v>
      </c>
      <c r="C431">
        <v>2</v>
      </c>
      <c r="D431">
        <v>2</v>
      </c>
      <c r="E431" t="s">
        <v>29</v>
      </c>
      <c r="F431" t="s">
        <v>169</v>
      </c>
      <c r="G431" t="s">
        <v>29</v>
      </c>
      <c r="H431" t="s">
        <v>29</v>
      </c>
      <c r="I431" t="s">
        <v>159</v>
      </c>
      <c r="J431" t="s">
        <v>76</v>
      </c>
      <c r="K431" t="s">
        <v>29</v>
      </c>
      <c r="L431" t="str">
        <f>CONCATENATE("Sind höchstens ",stimuli_table[[#This Row],[n_quantifier]]," ", stimuli_table[[#This Row],[shape_noun]], " ",stimuli_table[[#This Row],[color_adjective1]],"?")</f>
        <v>Sind höchstens NA Kreuze türkis?</v>
      </c>
      <c r="M431" t="s">
        <v>38</v>
      </c>
      <c r="N431" t="s">
        <v>160</v>
      </c>
      <c r="O431" t="s">
        <v>32</v>
      </c>
      <c r="P431" t="s">
        <v>50</v>
      </c>
      <c r="Q431" t="s">
        <v>78</v>
      </c>
      <c r="R431">
        <v>2</v>
      </c>
      <c r="S431" t="s">
        <v>66</v>
      </c>
      <c r="T431">
        <v>4</v>
      </c>
      <c r="U431" t="s">
        <v>52</v>
      </c>
      <c r="V431" t="s">
        <v>78</v>
      </c>
      <c r="W431">
        <v>0</v>
      </c>
      <c r="X431" t="s">
        <v>66</v>
      </c>
      <c r="Y431">
        <v>5</v>
      </c>
    </row>
    <row r="432" spans="1:25" x14ac:dyDescent="0.25">
      <c r="A432" t="s">
        <v>170</v>
      </c>
      <c r="B432">
        <v>1001</v>
      </c>
      <c r="C432">
        <v>10</v>
      </c>
      <c r="D432">
        <v>10</v>
      </c>
      <c r="E432" t="s">
        <v>29</v>
      </c>
      <c r="F432" t="s">
        <v>171</v>
      </c>
      <c r="G432" t="s">
        <v>29</v>
      </c>
      <c r="H432" t="s">
        <v>29</v>
      </c>
      <c r="I432" t="s">
        <v>155</v>
      </c>
      <c r="J432" t="s">
        <v>101</v>
      </c>
      <c r="K432" t="s">
        <v>29</v>
      </c>
      <c r="L432" t="s">
        <v>172</v>
      </c>
      <c r="M432" t="s">
        <v>31</v>
      </c>
      <c r="N432" t="s">
        <v>160</v>
      </c>
      <c r="O432" t="s">
        <v>103</v>
      </c>
      <c r="P432" t="s">
        <v>27</v>
      </c>
      <c r="Q432" t="s">
        <v>59</v>
      </c>
      <c r="R432">
        <v>2</v>
      </c>
      <c r="S432" t="s">
        <v>84</v>
      </c>
      <c r="T432">
        <v>0</v>
      </c>
      <c r="U432" t="s">
        <v>50</v>
      </c>
      <c r="V432" t="s">
        <v>59</v>
      </c>
      <c r="W432">
        <v>0</v>
      </c>
      <c r="X432" t="s">
        <v>84</v>
      </c>
      <c r="Y432">
        <v>1</v>
      </c>
    </row>
    <row r="433" spans="1:25" x14ac:dyDescent="0.25">
      <c r="A433" t="s">
        <v>170</v>
      </c>
      <c r="B433">
        <v>1002</v>
      </c>
      <c r="C433">
        <v>10</v>
      </c>
      <c r="D433">
        <v>10</v>
      </c>
      <c r="E433" t="s">
        <v>29</v>
      </c>
      <c r="F433" t="s">
        <v>171</v>
      </c>
      <c r="G433" t="s">
        <v>29</v>
      </c>
      <c r="H433" t="s">
        <v>29</v>
      </c>
      <c r="I433" t="s">
        <v>158</v>
      </c>
      <c r="J433" t="s">
        <v>92</v>
      </c>
      <c r="K433" t="s">
        <v>29</v>
      </c>
      <c r="L433" t="s">
        <v>173</v>
      </c>
      <c r="M433" t="s">
        <v>31</v>
      </c>
      <c r="N433" t="s">
        <v>160</v>
      </c>
      <c r="O433" t="s">
        <v>103</v>
      </c>
      <c r="P433" t="s">
        <v>33</v>
      </c>
      <c r="Q433" t="s">
        <v>35</v>
      </c>
      <c r="R433">
        <v>2</v>
      </c>
      <c r="S433" t="s">
        <v>34</v>
      </c>
      <c r="T433">
        <v>0</v>
      </c>
      <c r="U433" t="s">
        <v>33</v>
      </c>
      <c r="V433" t="s">
        <v>35</v>
      </c>
      <c r="W433">
        <v>0</v>
      </c>
      <c r="X433" t="s">
        <v>34</v>
      </c>
      <c r="Y433">
        <v>3</v>
      </c>
    </row>
    <row r="434" spans="1:25" x14ac:dyDescent="0.25">
      <c r="A434" t="s">
        <v>170</v>
      </c>
      <c r="B434">
        <v>1003</v>
      </c>
      <c r="C434">
        <v>10</v>
      </c>
      <c r="D434">
        <v>10</v>
      </c>
      <c r="E434" t="s">
        <v>29</v>
      </c>
      <c r="F434" t="s">
        <v>171</v>
      </c>
      <c r="G434" t="s">
        <v>29</v>
      </c>
      <c r="H434" t="s">
        <v>29</v>
      </c>
      <c r="I434" t="s">
        <v>145</v>
      </c>
      <c r="J434" t="s">
        <v>28</v>
      </c>
      <c r="K434" t="s">
        <v>29</v>
      </c>
      <c r="L434" t="s">
        <v>174</v>
      </c>
      <c r="M434" t="s">
        <v>31</v>
      </c>
      <c r="N434" t="s">
        <v>160</v>
      </c>
      <c r="O434" t="s">
        <v>103</v>
      </c>
      <c r="P434" t="s">
        <v>33</v>
      </c>
      <c r="Q434" t="s">
        <v>34</v>
      </c>
      <c r="R434">
        <v>1</v>
      </c>
      <c r="S434" t="s">
        <v>59</v>
      </c>
      <c r="T434">
        <v>0</v>
      </c>
      <c r="U434" t="s">
        <v>27</v>
      </c>
      <c r="V434" t="s">
        <v>34</v>
      </c>
      <c r="W434">
        <v>0</v>
      </c>
      <c r="X434" t="s">
        <v>59</v>
      </c>
      <c r="Y434">
        <v>1</v>
      </c>
    </row>
    <row r="435" spans="1:25" x14ac:dyDescent="0.25">
      <c r="A435" t="s">
        <v>170</v>
      </c>
      <c r="B435">
        <v>1004</v>
      </c>
      <c r="C435">
        <v>10</v>
      </c>
      <c r="D435">
        <v>10</v>
      </c>
      <c r="E435" t="s">
        <v>29</v>
      </c>
      <c r="F435" t="s">
        <v>171</v>
      </c>
      <c r="G435" t="s">
        <v>29</v>
      </c>
      <c r="H435" t="s">
        <v>29</v>
      </c>
      <c r="I435" t="s">
        <v>157</v>
      </c>
      <c r="J435" t="s">
        <v>63</v>
      </c>
      <c r="K435" t="s">
        <v>29</v>
      </c>
      <c r="L435" t="s">
        <v>175</v>
      </c>
      <c r="M435" t="s">
        <v>31</v>
      </c>
      <c r="N435" t="s">
        <v>160</v>
      </c>
      <c r="O435" t="s">
        <v>103</v>
      </c>
      <c r="P435" t="s">
        <v>50</v>
      </c>
      <c r="Q435" t="s">
        <v>65</v>
      </c>
      <c r="R435">
        <v>2</v>
      </c>
      <c r="S435" t="s">
        <v>66</v>
      </c>
      <c r="T435">
        <v>2</v>
      </c>
      <c r="U435" t="s">
        <v>27</v>
      </c>
      <c r="V435" t="s">
        <v>65</v>
      </c>
      <c r="W435">
        <v>1</v>
      </c>
      <c r="X435" t="s">
        <v>66</v>
      </c>
      <c r="Y435">
        <v>0</v>
      </c>
    </row>
    <row r="436" spans="1:25" x14ac:dyDescent="0.25">
      <c r="A436" t="s">
        <v>170</v>
      </c>
      <c r="B436">
        <v>1005</v>
      </c>
      <c r="C436">
        <v>10</v>
      </c>
      <c r="D436">
        <v>10</v>
      </c>
      <c r="E436" t="s">
        <v>29</v>
      </c>
      <c r="F436" t="s">
        <v>171</v>
      </c>
      <c r="G436" t="s">
        <v>29</v>
      </c>
      <c r="H436" t="s">
        <v>29</v>
      </c>
      <c r="I436" t="s">
        <v>156</v>
      </c>
      <c r="J436" t="s">
        <v>92</v>
      </c>
      <c r="K436" t="s">
        <v>29</v>
      </c>
      <c r="L436" t="s">
        <v>176</v>
      </c>
      <c r="M436" t="s">
        <v>31</v>
      </c>
      <c r="N436" t="s">
        <v>160</v>
      </c>
      <c r="O436" t="s">
        <v>103</v>
      </c>
      <c r="P436" t="s">
        <v>27</v>
      </c>
      <c r="Q436" t="s">
        <v>35</v>
      </c>
      <c r="R436">
        <v>3</v>
      </c>
      <c r="S436" t="s">
        <v>34</v>
      </c>
      <c r="T436">
        <v>3</v>
      </c>
      <c r="U436" t="s">
        <v>33</v>
      </c>
      <c r="V436" t="s">
        <v>35</v>
      </c>
      <c r="W436">
        <v>1</v>
      </c>
      <c r="X436" t="s">
        <v>34</v>
      </c>
      <c r="Y436">
        <v>1</v>
      </c>
    </row>
    <row r="437" spans="1:25" x14ac:dyDescent="0.25">
      <c r="A437" t="s">
        <v>170</v>
      </c>
      <c r="B437">
        <v>1006</v>
      </c>
      <c r="C437">
        <v>10</v>
      </c>
      <c r="D437">
        <v>10</v>
      </c>
      <c r="E437" t="s">
        <v>29</v>
      </c>
      <c r="F437" t="s">
        <v>171</v>
      </c>
      <c r="G437" t="s">
        <v>29</v>
      </c>
      <c r="H437" t="s">
        <v>29</v>
      </c>
      <c r="I437" t="s">
        <v>155</v>
      </c>
      <c r="J437" t="s">
        <v>28</v>
      </c>
      <c r="K437" t="s">
        <v>29</v>
      </c>
      <c r="L437" t="s">
        <v>177</v>
      </c>
      <c r="M437" t="s">
        <v>31</v>
      </c>
      <c r="N437" t="s">
        <v>160</v>
      </c>
      <c r="O437" t="s">
        <v>32</v>
      </c>
      <c r="P437" t="s">
        <v>33</v>
      </c>
      <c r="Q437" t="s">
        <v>34</v>
      </c>
      <c r="R437">
        <v>1</v>
      </c>
      <c r="S437" t="s">
        <v>58</v>
      </c>
      <c r="T437">
        <v>0</v>
      </c>
      <c r="U437" t="s">
        <v>27</v>
      </c>
      <c r="V437" t="s">
        <v>34</v>
      </c>
      <c r="W437">
        <v>2</v>
      </c>
      <c r="X437" t="s">
        <v>58</v>
      </c>
      <c r="Y437">
        <v>0</v>
      </c>
    </row>
    <row r="438" spans="1:25" x14ac:dyDescent="0.25">
      <c r="A438" t="s">
        <v>170</v>
      </c>
      <c r="B438">
        <v>1007</v>
      </c>
      <c r="C438">
        <v>10</v>
      </c>
      <c r="D438">
        <v>10</v>
      </c>
      <c r="E438" t="s">
        <v>29</v>
      </c>
      <c r="F438" t="s">
        <v>171</v>
      </c>
      <c r="G438" t="s">
        <v>29</v>
      </c>
      <c r="H438" t="s">
        <v>29</v>
      </c>
      <c r="I438" t="s">
        <v>158</v>
      </c>
      <c r="J438" t="s">
        <v>70</v>
      </c>
      <c r="K438" t="s">
        <v>29</v>
      </c>
      <c r="L438" t="s">
        <v>178</v>
      </c>
      <c r="M438" t="s">
        <v>31</v>
      </c>
      <c r="N438" t="s">
        <v>160</v>
      </c>
      <c r="O438" t="s">
        <v>32</v>
      </c>
      <c r="P438" t="s">
        <v>36</v>
      </c>
      <c r="Q438" t="s">
        <v>72</v>
      </c>
      <c r="R438">
        <v>3</v>
      </c>
      <c r="S438" t="s">
        <v>58</v>
      </c>
      <c r="T438">
        <v>3</v>
      </c>
      <c r="U438" t="s">
        <v>33</v>
      </c>
      <c r="V438" t="s">
        <v>72</v>
      </c>
      <c r="W438">
        <v>3</v>
      </c>
      <c r="X438" t="s">
        <v>58</v>
      </c>
      <c r="Y438">
        <v>1</v>
      </c>
    </row>
    <row r="439" spans="1:25" x14ac:dyDescent="0.25">
      <c r="A439" t="s">
        <v>170</v>
      </c>
      <c r="B439">
        <v>1008</v>
      </c>
      <c r="C439">
        <v>10</v>
      </c>
      <c r="D439">
        <v>10</v>
      </c>
      <c r="E439" t="s">
        <v>29</v>
      </c>
      <c r="F439" t="s">
        <v>171</v>
      </c>
      <c r="G439" t="s">
        <v>29</v>
      </c>
      <c r="H439" t="s">
        <v>29</v>
      </c>
      <c r="I439" t="s">
        <v>145</v>
      </c>
      <c r="J439" t="s">
        <v>123</v>
      </c>
      <c r="K439" t="s">
        <v>29</v>
      </c>
      <c r="L439" t="s">
        <v>179</v>
      </c>
      <c r="M439" t="s">
        <v>31</v>
      </c>
      <c r="N439" t="s">
        <v>160</v>
      </c>
      <c r="O439" t="s">
        <v>32</v>
      </c>
      <c r="P439" t="s">
        <v>27</v>
      </c>
      <c r="Q439" t="s">
        <v>66</v>
      </c>
      <c r="R439">
        <v>1</v>
      </c>
      <c r="S439" t="s">
        <v>84</v>
      </c>
      <c r="T439">
        <v>0</v>
      </c>
      <c r="U439" t="s">
        <v>36</v>
      </c>
      <c r="V439" t="s">
        <v>66</v>
      </c>
      <c r="W439">
        <v>2</v>
      </c>
      <c r="X439" t="s">
        <v>84</v>
      </c>
      <c r="Y439">
        <v>1</v>
      </c>
    </row>
    <row r="440" spans="1:25" x14ac:dyDescent="0.25">
      <c r="A440" t="s">
        <v>170</v>
      </c>
      <c r="B440">
        <v>1009</v>
      </c>
      <c r="C440">
        <v>10</v>
      </c>
      <c r="D440">
        <v>10</v>
      </c>
      <c r="E440" t="s">
        <v>29</v>
      </c>
      <c r="F440" t="s">
        <v>171</v>
      </c>
      <c r="G440" t="s">
        <v>29</v>
      </c>
      <c r="H440" t="s">
        <v>29</v>
      </c>
      <c r="I440" t="s">
        <v>157</v>
      </c>
      <c r="J440" t="s">
        <v>92</v>
      </c>
      <c r="K440" t="s">
        <v>29</v>
      </c>
      <c r="L440" t="s">
        <v>180</v>
      </c>
      <c r="M440" t="s">
        <v>31</v>
      </c>
      <c r="N440" t="s">
        <v>160</v>
      </c>
      <c r="O440" t="s">
        <v>32</v>
      </c>
      <c r="P440" t="s">
        <v>52</v>
      </c>
      <c r="Q440" t="s">
        <v>35</v>
      </c>
      <c r="R440">
        <v>1</v>
      </c>
      <c r="S440" t="s">
        <v>58</v>
      </c>
      <c r="T440">
        <v>0</v>
      </c>
      <c r="U440" t="s">
        <v>52</v>
      </c>
      <c r="V440" t="s">
        <v>35</v>
      </c>
      <c r="W440">
        <v>0</v>
      </c>
      <c r="X440" t="s">
        <v>58</v>
      </c>
      <c r="Y440">
        <v>1</v>
      </c>
    </row>
    <row r="441" spans="1:25" x14ac:dyDescent="0.25">
      <c r="A441" t="s">
        <v>170</v>
      </c>
      <c r="B441">
        <v>1010</v>
      </c>
      <c r="C441">
        <v>10</v>
      </c>
      <c r="D441">
        <v>10</v>
      </c>
      <c r="E441" t="s">
        <v>29</v>
      </c>
      <c r="F441" t="s">
        <v>171</v>
      </c>
      <c r="G441" t="s">
        <v>29</v>
      </c>
      <c r="H441" t="s">
        <v>29</v>
      </c>
      <c r="I441" t="s">
        <v>156</v>
      </c>
      <c r="J441" t="s">
        <v>76</v>
      </c>
      <c r="K441" t="s">
        <v>29</v>
      </c>
      <c r="L441" t="s">
        <v>181</v>
      </c>
      <c r="M441" t="s">
        <v>31</v>
      </c>
      <c r="N441" t="s">
        <v>160</v>
      </c>
      <c r="O441" t="s">
        <v>32</v>
      </c>
      <c r="P441" t="s">
        <v>50</v>
      </c>
      <c r="Q441" t="s">
        <v>78</v>
      </c>
      <c r="R441">
        <v>1</v>
      </c>
      <c r="S441" t="s">
        <v>84</v>
      </c>
      <c r="T441">
        <v>0</v>
      </c>
      <c r="U441" t="s">
        <v>50</v>
      </c>
      <c r="V441" t="s">
        <v>78</v>
      </c>
      <c r="W441">
        <v>1</v>
      </c>
      <c r="X441" t="s">
        <v>84</v>
      </c>
      <c r="Y441">
        <v>1</v>
      </c>
    </row>
    <row r="442" spans="1:25" x14ac:dyDescent="0.25">
      <c r="A442" t="s">
        <v>170</v>
      </c>
      <c r="B442">
        <v>1011</v>
      </c>
      <c r="C442">
        <v>10</v>
      </c>
      <c r="D442">
        <v>10</v>
      </c>
      <c r="E442" t="s">
        <v>29</v>
      </c>
      <c r="F442" t="s">
        <v>182</v>
      </c>
      <c r="G442" t="s">
        <v>29</v>
      </c>
      <c r="H442" t="s">
        <v>29</v>
      </c>
      <c r="I442" t="s">
        <v>161</v>
      </c>
      <c r="J442" t="s">
        <v>92</v>
      </c>
      <c r="K442" t="s">
        <v>29</v>
      </c>
      <c r="L442" t="s">
        <v>183</v>
      </c>
      <c r="M442" t="s">
        <v>31</v>
      </c>
      <c r="N442" t="s">
        <v>160</v>
      </c>
      <c r="O442" t="s">
        <v>103</v>
      </c>
      <c r="P442" t="s">
        <v>27</v>
      </c>
      <c r="Q442" t="s">
        <v>35</v>
      </c>
      <c r="R442">
        <v>1</v>
      </c>
      <c r="S442" t="s">
        <v>84</v>
      </c>
      <c r="T442">
        <v>0</v>
      </c>
      <c r="U442" t="s">
        <v>36</v>
      </c>
      <c r="V442" t="s">
        <v>84</v>
      </c>
      <c r="W442">
        <v>3</v>
      </c>
      <c r="X442" t="s">
        <v>58</v>
      </c>
      <c r="Y442">
        <v>2</v>
      </c>
    </row>
    <row r="443" spans="1:25" x14ac:dyDescent="0.25">
      <c r="A443" t="s">
        <v>170</v>
      </c>
      <c r="B443">
        <v>1012</v>
      </c>
      <c r="C443">
        <v>10</v>
      </c>
      <c r="D443">
        <v>10</v>
      </c>
      <c r="E443" t="s">
        <v>29</v>
      </c>
      <c r="F443" t="s">
        <v>182</v>
      </c>
      <c r="G443" t="s">
        <v>29</v>
      </c>
      <c r="H443" t="s">
        <v>29</v>
      </c>
      <c r="I443" t="s">
        <v>163</v>
      </c>
      <c r="J443" t="s">
        <v>101</v>
      </c>
      <c r="K443" t="s">
        <v>29</v>
      </c>
      <c r="L443" t="s">
        <v>184</v>
      </c>
      <c r="M443" t="s">
        <v>31</v>
      </c>
      <c r="N443" t="s">
        <v>160</v>
      </c>
      <c r="O443" t="s">
        <v>103</v>
      </c>
      <c r="P443" t="s">
        <v>50</v>
      </c>
      <c r="Q443" t="s">
        <v>59</v>
      </c>
      <c r="R443">
        <v>2</v>
      </c>
      <c r="S443" t="s">
        <v>34</v>
      </c>
      <c r="T443">
        <v>3</v>
      </c>
      <c r="U443" t="s">
        <v>52</v>
      </c>
      <c r="V443" t="s">
        <v>59</v>
      </c>
      <c r="W443">
        <v>2</v>
      </c>
      <c r="X443" t="s">
        <v>34</v>
      </c>
      <c r="Y443">
        <v>2</v>
      </c>
    </row>
    <row r="444" spans="1:25" x14ac:dyDescent="0.25">
      <c r="A444" t="s">
        <v>170</v>
      </c>
      <c r="B444">
        <v>1013</v>
      </c>
      <c r="C444">
        <v>10</v>
      </c>
      <c r="D444">
        <v>10</v>
      </c>
      <c r="E444" t="s">
        <v>29</v>
      </c>
      <c r="F444" t="s">
        <v>182</v>
      </c>
      <c r="G444" t="s">
        <v>29</v>
      </c>
      <c r="H444" t="s">
        <v>29</v>
      </c>
      <c r="I444" t="s">
        <v>159</v>
      </c>
      <c r="J444" t="s">
        <v>70</v>
      </c>
      <c r="K444" t="s">
        <v>29</v>
      </c>
      <c r="L444" t="s">
        <v>185</v>
      </c>
      <c r="M444" t="s">
        <v>31</v>
      </c>
      <c r="N444" t="s">
        <v>160</v>
      </c>
      <c r="O444" t="s">
        <v>32</v>
      </c>
      <c r="P444" t="s">
        <v>27</v>
      </c>
      <c r="Q444" t="s">
        <v>72</v>
      </c>
      <c r="R444">
        <v>1</v>
      </c>
      <c r="S444" t="s">
        <v>65</v>
      </c>
      <c r="T444">
        <v>1</v>
      </c>
      <c r="U444" t="s">
        <v>52</v>
      </c>
      <c r="V444" t="s">
        <v>72</v>
      </c>
      <c r="W444">
        <v>1</v>
      </c>
      <c r="X444" t="s">
        <v>65</v>
      </c>
      <c r="Y444">
        <v>4</v>
      </c>
    </row>
    <row r="445" spans="1:25" x14ac:dyDescent="0.25">
      <c r="A445" t="s">
        <v>170</v>
      </c>
      <c r="B445">
        <v>1014</v>
      </c>
      <c r="C445">
        <v>10</v>
      </c>
      <c r="D445">
        <v>10</v>
      </c>
      <c r="E445" t="s">
        <v>29</v>
      </c>
      <c r="F445" t="s">
        <v>182</v>
      </c>
      <c r="G445" t="s">
        <v>29</v>
      </c>
      <c r="H445" t="s">
        <v>29</v>
      </c>
      <c r="I445" t="s">
        <v>164</v>
      </c>
      <c r="J445" t="s">
        <v>28</v>
      </c>
      <c r="K445" t="s">
        <v>29</v>
      </c>
      <c r="L445" t="s">
        <v>186</v>
      </c>
      <c r="M445" t="s">
        <v>31</v>
      </c>
      <c r="N445" t="s">
        <v>160</v>
      </c>
      <c r="O445" t="s">
        <v>32</v>
      </c>
      <c r="P445" t="s">
        <v>33</v>
      </c>
      <c r="Q445" t="s">
        <v>34</v>
      </c>
      <c r="R445">
        <v>5</v>
      </c>
      <c r="S445" t="s">
        <v>35</v>
      </c>
      <c r="T445">
        <v>5</v>
      </c>
      <c r="U445" t="s">
        <v>36</v>
      </c>
      <c r="V445" t="s">
        <v>34</v>
      </c>
      <c r="W445">
        <v>2</v>
      </c>
      <c r="X445" t="s">
        <v>35</v>
      </c>
      <c r="Y445">
        <v>2</v>
      </c>
    </row>
    <row r="446" spans="1:25" x14ac:dyDescent="0.25">
      <c r="A446" t="s">
        <v>170</v>
      </c>
      <c r="B446">
        <v>1015</v>
      </c>
      <c r="C446">
        <v>10</v>
      </c>
      <c r="D446">
        <v>10</v>
      </c>
      <c r="E446" t="s">
        <v>29</v>
      </c>
      <c r="F446" t="s">
        <v>182</v>
      </c>
      <c r="G446" t="s">
        <v>29</v>
      </c>
      <c r="H446" t="s">
        <v>29</v>
      </c>
      <c r="I446" t="s">
        <v>162</v>
      </c>
      <c r="J446" t="s">
        <v>123</v>
      </c>
      <c r="K446" t="s">
        <v>29</v>
      </c>
      <c r="L446" t="s">
        <v>187</v>
      </c>
      <c r="M446" t="s">
        <v>31</v>
      </c>
      <c r="N446" t="s">
        <v>160</v>
      </c>
      <c r="O446" t="s">
        <v>32</v>
      </c>
      <c r="P446" t="s">
        <v>52</v>
      </c>
      <c r="Q446" t="s">
        <v>35</v>
      </c>
      <c r="R446">
        <v>3</v>
      </c>
      <c r="S446" t="s">
        <v>66</v>
      </c>
      <c r="T446">
        <v>3</v>
      </c>
      <c r="U446" t="s">
        <v>33</v>
      </c>
      <c r="V446" t="s">
        <v>35</v>
      </c>
      <c r="W446">
        <v>3</v>
      </c>
      <c r="X446" t="s">
        <v>66</v>
      </c>
      <c r="Y446">
        <v>3</v>
      </c>
    </row>
  </sheetData>
  <pageMargins left="0.7" right="0.7" top="0.78740157500000008" bottom="0.78740157500000008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B3" sqref="B3"/>
    </sheetView>
  </sheetViews>
  <sheetFormatPr baseColWidth="10" defaultRowHeight="15" x14ac:dyDescent="0.25"/>
  <cols>
    <col min="2" max="2" width="78.140625" customWidth="1"/>
    <col min="3" max="3" width="16.7109375" bestFit="1" customWidth="1"/>
    <col min="9" max="9" width="13.85546875" bestFit="1" customWidth="1"/>
    <col min="11" max="11" width="12.7109375" bestFit="1" customWidth="1"/>
    <col min="12" max="12" width="14.85546875" bestFit="1" customWidth="1"/>
    <col min="13" max="13" width="12.7109375" bestFit="1" customWidth="1"/>
    <col min="14" max="14" width="14.85546875" bestFit="1" customWidth="1"/>
  </cols>
  <sheetData>
    <row r="1" spans="1:14" x14ac:dyDescent="0.25">
      <c r="A1" t="s">
        <v>1</v>
      </c>
      <c r="B1" s="5" t="s">
        <v>11</v>
      </c>
      <c r="C1" s="5" t="s">
        <v>12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6" t="s">
        <v>24</v>
      </c>
    </row>
    <row r="2" spans="1:14" x14ac:dyDescent="0.25">
      <c r="A2" t="s">
        <v>188</v>
      </c>
      <c r="B2" s="7" t="s">
        <v>189</v>
      </c>
      <c r="C2" s="7" t="s">
        <v>31</v>
      </c>
      <c r="D2" s="7" t="s">
        <v>103</v>
      </c>
      <c r="E2" s="7" t="s">
        <v>36</v>
      </c>
      <c r="F2" s="7" t="s">
        <v>34</v>
      </c>
      <c r="G2" s="7">
        <v>4</v>
      </c>
      <c r="H2" s="7" t="s">
        <v>35</v>
      </c>
      <c r="I2" s="7">
        <v>1</v>
      </c>
      <c r="J2" s="7" t="s">
        <v>33</v>
      </c>
      <c r="K2" s="7" t="s">
        <v>34</v>
      </c>
      <c r="L2" s="7">
        <v>1</v>
      </c>
      <c r="M2" s="7" t="s">
        <v>35</v>
      </c>
      <c r="N2" s="8">
        <v>1</v>
      </c>
    </row>
    <row r="3" spans="1:14" x14ac:dyDescent="0.25">
      <c r="A3" t="s">
        <v>190</v>
      </c>
      <c r="B3" s="7" t="s">
        <v>191</v>
      </c>
      <c r="C3" s="7" t="s">
        <v>31</v>
      </c>
      <c r="D3" s="7" t="s">
        <v>32</v>
      </c>
      <c r="E3" s="7" t="s">
        <v>36</v>
      </c>
      <c r="F3" s="7" t="s">
        <v>66</v>
      </c>
      <c r="G3" s="7">
        <v>4</v>
      </c>
      <c r="H3" s="7" t="s">
        <v>35</v>
      </c>
      <c r="I3" s="7">
        <v>1</v>
      </c>
      <c r="J3" s="7" t="s">
        <v>27</v>
      </c>
      <c r="K3" s="7" t="s">
        <v>66</v>
      </c>
      <c r="L3" s="7">
        <v>2</v>
      </c>
      <c r="M3" s="7" t="s">
        <v>35</v>
      </c>
      <c r="N3" s="8">
        <v>0</v>
      </c>
    </row>
    <row r="4" spans="1:14" x14ac:dyDescent="0.25">
      <c r="A4" t="s">
        <v>192</v>
      </c>
      <c r="B4" t="s">
        <v>193</v>
      </c>
      <c r="C4" t="s">
        <v>38</v>
      </c>
      <c r="D4" t="s">
        <v>103</v>
      </c>
      <c r="E4" t="s">
        <v>52</v>
      </c>
      <c r="F4" t="s">
        <v>59</v>
      </c>
      <c r="G4">
        <v>4</v>
      </c>
      <c r="H4" t="s">
        <v>34</v>
      </c>
      <c r="I4">
        <v>2</v>
      </c>
      <c r="J4" t="s">
        <v>33</v>
      </c>
      <c r="K4" t="s">
        <v>59</v>
      </c>
      <c r="L4">
        <v>1</v>
      </c>
      <c r="M4" t="s">
        <v>34</v>
      </c>
      <c r="N4">
        <v>1</v>
      </c>
    </row>
    <row r="5" spans="1:14" x14ac:dyDescent="0.25">
      <c r="A5" t="s">
        <v>194</v>
      </c>
      <c r="B5" t="s">
        <v>195</v>
      </c>
      <c r="C5" t="s">
        <v>38</v>
      </c>
      <c r="D5" t="s">
        <v>32</v>
      </c>
      <c r="E5" t="s">
        <v>36</v>
      </c>
      <c r="F5" t="s">
        <v>35</v>
      </c>
      <c r="G5">
        <v>1</v>
      </c>
      <c r="H5" t="s">
        <v>84</v>
      </c>
      <c r="I5">
        <v>1</v>
      </c>
      <c r="J5" t="s">
        <v>33</v>
      </c>
      <c r="K5" t="s">
        <v>35</v>
      </c>
      <c r="L5">
        <v>2</v>
      </c>
      <c r="M5" t="s">
        <v>84</v>
      </c>
      <c r="N5">
        <v>5</v>
      </c>
    </row>
    <row r="6" spans="1:14" x14ac:dyDescent="0.25">
      <c r="A6" t="s">
        <v>196</v>
      </c>
      <c r="B6" s="7" t="s">
        <v>197</v>
      </c>
      <c r="C6" s="7" t="s">
        <v>41</v>
      </c>
      <c r="D6" s="7" t="s">
        <v>103</v>
      </c>
      <c r="E6" s="7" t="s">
        <v>52</v>
      </c>
      <c r="F6" s="7" t="s">
        <v>58</v>
      </c>
      <c r="G6" s="7">
        <v>6</v>
      </c>
      <c r="H6" s="7" t="s">
        <v>66</v>
      </c>
      <c r="I6" s="7">
        <v>2</v>
      </c>
      <c r="J6" s="7" t="s">
        <v>27</v>
      </c>
      <c r="K6" s="7" t="s">
        <v>58</v>
      </c>
      <c r="L6" s="7">
        <v>2</v>
      </c>
      <c r="M6" s="7" t="s">
        <v>66</v>
      </c>
      <c r="N6" s="8">
        <v>2</v>
      </c>
    </row>
    <row r="7" spans="1:14" x14ac:dyDescent="0.25">
      <c r="A7" t="s">
        <v>198</v>
      </c>
      <c r="B7" s="7" t="s">
        <v>199</v>
      </c>
      <c r="C7" s="7" t="s">
        <v>41</v>
      </c>
      <c r="D7" s="7" t="s">
        <v>32</v>
      </c>
      <c r="E7" s="7" t="s">
        <v>50</v>
      </c>
      <c r="F7" s="7" t="s">
        <v>35</v>
      </c>
      <c r="G7" s="7">
        <v>5</v>
      </c>
      <c r="H7" s="7" t="s">
        <v>34</v>
      </c>
      <c r="I7" s="7">
        <v>5</v>
      </c>
      <c r="J7" s="7" t="s">
        <v>36</v>
      </c>
      <c r="K7" s="7" t="s">
        <v>35</v>
      </c>
      <c r="L7" s="7">
        <v>4</v>
      </c>
      <c r="M7" s="7" t="s">
        <v>34</v>
      </c>
      <c r="N7" s="8">
        <v>2</v>
      </c>
    </row>
  </sheetData>
  <pageMargins left="0.7" right="0.7" top="0.78740157500000008" bottom="0.78740157500000008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8E1FF7-13A4-40E0-95CC-A70CD1FBB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stimuli_table_all_lists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Bott</dc:creator>
  <cp:lastModifiedBy>Oliver Bott</cp:lastModifiedBy>
  <cp:revision>1</cp:revision>
  <dcterms:created xsi:type="dcterms:W3CDTF">2024-01-12T07:28:38Z</dcterms:created>
  <dcterms:modified xsi:type="dcterms:W3CDTF">2024-04-18T05:15:44Z</dcterms:modified>
</cp:coreProperties>
</file>